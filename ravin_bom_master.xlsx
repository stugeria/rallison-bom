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yer_Registry" sheetId="2" state="visible" r:id="rId2"/>
    <sheet xmlns:r="http://schemas.openxmlformats.org/officeDocument/2006/relationships" name="Cable_Families" sheetId="3" state="visible" r:id="rId3"/>
    <sheet xmlns:r="http://schemas.openxmlformats.org/officeDocument/2006/relationships" name="Master_Data" sheetId="4" state="visible" r:id="rId4"/>
    <sheet xmlns:r="http://schemas.openxmlformats.org/officeDocument/2006/relationships" name="Lay_Factors" sheetId="5" state="visible" r:id="rId5"/>
    <sheet xmlns:r="http://schemas.openxmlformats.org/officeDocument/2006/relationships" name="Extrusion_Tolerances" sheetId="6" state="visible" r:id="rId6"/>
    <sheet xmlns:r="http://schemas.openxmlformats.org/officeDocument/2006/relationships" name="RM_Prices" sheetId="7" state="visible" r:id="rId7"/>
    <sheet xmlns:r="http://schemas.openxmlformats.org/officeDocument/2006/relationships" name="Drum_Costs" sheetId="8" state="visible" r:id="rId8"/>
    <sheet xmlns:r="http://schemas.openxmlformats.org/officeDocument/2006/relationships" name="Margins" sheetId="9" state="visible" r:id="rId9"/>
    <sheet xmlns:r="http://schemas.openxmlformats.org/officeDocument/2006/relationships" name="BOM_Calculator" sheetId="10" state="visible" r:id="rId10"/>
    <sheet xmlns:r="http://schemas.openxmlformats.org/officeDocument/2006/relationships" name="Costing_Calcula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FF0000"/>
      <sz val="10"/>
    </font>
    <font>
      <name val="Calibri"/>
      <b val="1"/>
      <color rgb="00003366"/>
      <sz val="10"/>
    </font>
    <font>
      <name val="Calibri"/>
      <b val="1"/>
      <sz val="10"/>
    </font>
    <font>
      <name val="Calibri"/>
      <sz val="10"/>
    </font>
    <font>
      <name val="Courier New"/>
      <sz val="9"/>
    </font>
    <font>
      <name val="Calibri"/>
      <b val="1"/>
      <color rgb="00FFFFFF"/>
      <sz val="11"/>
    </font>
    <font>
      <name val="Calibri"/>
      <b val="1"/>
      <color rgb="00CC0000"/>
      <sz val="10"/>
    </font>
    <font>
      <name val="Calibri"/>
      <i val="1"/>
      <color rgb="00CC0000"/>
      <sz val="9"/>
    </font>
    <font>
      <name val="Calibri"/>
      <i val="1"/>
      <color rgb="00666666"/>
      <sz val="9"/>
    </font>
    <font>
      <name val="Calibri"/>
      <i val="1"/>
      <color rgb="00AAAAAA"/>
      <sz val="10"/>
    </font>
    <font>
      <name val="Calibri"/>
      <b val="1"/>
      <color rgb="00003366"/>
      <sz val="14"/>
    </font>
    <font>
      <name val="Calibri"/>
      <i val="1"/>
      <color rgb="00888888"/>
      <sz val="10"/>
    </font>
    <font>
      <name val="Calibri"/>
      <b val="1"/>
      <color rgb="00CC3300"/>
      <sz val="14"/>
    </font>
    <font>
      <name val="Calibri"/>
      <i val="1"/>
      <color rgb="00666666"/>
      <sz val="10"/>
    </font>
    <font>
      <name val="Calibri"/>
      <b val="1"/>
      <color rgb="00003366"/>
      <sz val="11"/>
    </font>
    <font>
      <name val="Calibri"/>
      <b val="1"/>
      <color rgb="00CC3300"/>
      <sz val="11"/>
    </font>
    <font>
      <name val="Calibri"/>
      <b val="1"/>
      <color rgb="001F7A1F"/>
      <sz val="12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7FC"/>
      </patternFill>
    </fill>
    <fill>
      <patternFill patternType="solid">
        <fgColor rgb="00D6E4F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3" fillId="4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RAVIN CABLES LTD — BOM Master Workbook</t>
        </is>
      </c>
    </row>
    <row r="2">
      <c r="A2" s="2" t="inlineStr">
        <is>
          <t>Version: 2026-05-13   |   DO NOT share externally — contains pricing data</t>
        </is>
      </c>
    </row>
    <row r="4">
      <c r="A4" s="3" t="inlineStr">
        <is>
          <t>Sheet Index</t>
        </is>
      </c>
    </row>
    <row r="5">
      <c r="A5" s="3" t="inlineStr">
        <is>
          <t>Sheet</t>
        </is>
      </c>
      <c r="B5" s="3" t="inlineStr">
        <is>
          <t>Purpose</t>
        </is>
      </c>
    </row>
    <row r="6">
      <c r="A6" s="4" t="inlineStr">
        <is>
          <t>Layer_Registry</t>
        </is>
      </c>
      <c r="B6" s="5" t="inlineStr">
        <is>
          <t>All layer types, formula definitions, required inputs</t>
        </is>
      </c>
    </row>
    <row r="7">
      <c r="A7" s="4" t="inlineStr">
        <is>
          <t>Cable_Families</t>
        </is>
      </c>
      <c r="B7" s="5" t="inlineStr">
        <is>
          <t>9 cable family definitions with layer sequences</t>
        </is>
      </c>
    </row>
    <row r="8">
      <c r="A8" s="4" t="inlineStr">
        <is>
          <t>Master_Data</t>
        </is>
      </c>
      <c r="B8" s="5" t="inlineStr">
        <is>
          <t>Material densities (g/cm³), resistivity constants, design factors</t>
        </is>
      </c>
    </row>
    <row r="9">
      <c r="A9" s="4" t="inlineStr">
        <is>
          <t>Lay_Factors</t>
        </is>
      </c>
      <c r="B9" s="5" t="inlineStr">
        <is>
          <t>Conductor / cabling / armour lay factor lookup tables</t>
        </is>
      </c>
    </row>
    <row r="10">
      <c r="A10" s="4" t="inlineStr">
        <is>
          <t>Extrusion_Tolerances</t>
        </is>
      </c>
      <c r="B10" s="5" t="inlineStr">
        <is>
          <t>Thickness tolerance factors by band and type (Nominal/Minimum)</t>
        </is>
      </c>
    </row>
    <row r="11">
      <c r="A11" s="4" t="inlineStr">
        <is>
          <t>RM_Prices</t>
        </is>
      </c>
      <c r="B11" s="5" t="inlineStr">
        <is>
          <t>Current raw material prices (₹/kg) — update regularly</t>
        </is>
      </c>
    </row>
    <row r="12">
      <c r="A12" s="4" t="inlineStr">
        <is>
          <t>Drum_Costs</t>
        </is>
      </c>
      <c r="B12" s="5" t="inlineStr">
        <is>
          <t>Drum cost lookup by product type, conductor area, drum type</t>
        </is>
      </c>
    </row>
    <row r="13">
      <c r="A13" s="4" t="inlineStr">
        <is>
          <t>Margins</t>
        </is>
      </c>
      <c r="B13" s="5" t="inlineStr">
        <is>
          <t>Target margin % by product family and conductor area range</t>
        </is>
      </c>
    </row>
    <row r="14">
      <c r="A14" s="4" t="inlineStr">
        <is>
          <t>BOM_Calculator</t>
        </is>
      </c>
      <c r="B14" s="5" t="inlineStr">
        <is>
          <t>Interactive BOM calculator — enter cable specs, get weight per layer</t>
        </is>
      </c>
    </row>
    <row r="15">
      <c r="A15" s="4" t="inlineStr">
        <is>
          <t>Costing_Calculator</t>
        </is>
      </c>
      <c r="B15" s="5" t="inlineStr">
        <is>
          <t>Applies RM prices to BOM → floor price and selling price</t>
        </is>
      </c>
    </row>
    <row r="17">
      <c r="A17" s="3" t="inlineStr">
        <is>
          <t>Formula Reference</t>
        </is>
      </c>
    </row>
    <row r="18">
      <c r="A18" s="4" t="inlineStr">
        <is>
          <t>Conductor Weight</t>
        </is>
      </c>
      <c r="B18" s="6" t="inlineStr">
        <is>
          <t>area = ρ/R_DC × resistance_factor   |   weight = area × density × lay_factor × num_cores</t>
        </is>
      </c>
    </row>
    <row r="19">
      <c r="A19" s="4" t="inlineStr">
        <is>
          <t>Annular Layer (Extrusion)</t>
        </is>
      </c>
      <c r="B19" s="6" t="inlineStr">
        <is>
          <t>OD = ID + 2×(thickness×tol_factor)   |   weight = (π/4)(OD²-ID²) × density × lay_factor</t>
        </is>
      </c>
    </row>
    <row r="20">
      <c r="A20" s="4" t="inlineStr">
        <is>
          <t>GS Flat Strip Armour</t>
        </is>
      </c>
      <c r="B20" s="6" t="inlineStr">
        <is>
          <t>n = π(D+t)/(w+gap)   |   weight = n × w × t × density × lay × coverage</t>
        </is>
      </c>
    </row>
    <row r="21">
      <c r="A21" s="4" t="inlineStr">
        <is>
          <t>GS Round Wire Armour</t>
        </is>
      </c>
      <c r="B21" s="6" t="inlineStr">
        <is>
          <t>n = π(D+d)/(d+gap)   |   weight = n × (π/4×d²) × density × lay × coverage</t>
        </is>
      </c>
    </row>
    <row r="22">
      <c r="A22" s="4" t="inlineStr">
        <is>
          <t>Copper Tape Screen</t>
        </is>
      </c>
      <c r="B22" s="6" t="inlineStr">
        <is>
          <t>weight = π × mean_OD × (1+overlap/100) × thickness × density × num_cores</t>
        </is>
      </c>
    </row>
    <row r="23">
      <c r="A23" s="4" t="inlineStr">
        <is>
          <t>Tape Wrap (general)</t>
        </is>
      </c>
      <c r="B23" s="6" t="inlineStr">
        <is>
          <t>weight = π × mean_OD × (1+overlap/100) × thickness × density × n_layers</t>
        </is>
      </c>
    </row>
    <row r="24">
      <c r="A24" s="4" t="inlineStr">
        <is>
          <t>PP Filler</t>
        </is>
      </c>
      <c r="B24" s="6" t="inlineStr">
        <is>
          <t>weight = ((π/4×OD_cab²) - n×(π/4×OD_core²)) × fill_factor × density</t>
        </is>
      </c>
    </row>
    <row r="25">
      <c r="A25" s="4" t="inlineStr">
        <is>
          <t>Drain Wire</t>
        </is>
      </c>
      <c r="B25" s="6" t="inlineStr">
        <is>
          <t>weight = (π/4 × d²) × density_Cu × n_pairs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2" customWidth="1" min="4" max="4"/>
    <col width="22" customWidth="1" min="5" max="5"/>
    <col width="10" customWidth="1" min="6" max="6"/>
    <col width="16" customWidth="1" min="7" max="7"/>
    <col width="14" customWidth="1" min="8" max="8"/>
    <col width="60" customWidth="1" min="9" max="9"/>
    <col width="70" customWidth="1" min="10" max="10"/>
  </cols>
  <sheetData>
    <row r="1" ht="18" customHeight="1">
      <c r="A1" s="7" t="inlineStr">
        <is>
          <t>layer_key</t>
        </is>
      </c>
      <c r="B1" s="7" t="inlineStr">
        <is>
          <t>display_name</t>
        </is>
      </c>
      <c r="C1" s="7" t="inlineStr">
        <is>
          <t>formula_type</t>
        </is>
      </c>
      <c r="D1" s="7" t="inlineStr">
        <is>
          <t>required_inputs</t>
        </is>
      </c>
      <c r="E1" s="7" t="inlineStr">
        <is>
          <t>density_key</t>
        </is>
      </c>
      <c r="F1" s="7" t="inlineStr">
        <is>
          <t>tolerance_applicable</t>
        </is>
      </c>
      <c r="G1" s="7" t="inlineStr">
        <is>
          <t>lay_category</t>
        </is>
      </c>
      <c r="H1" s="7" t="inlineStr">
        <is>
          <t>apply_cabling_lay</t>
        </is>
      </c>
      <c r="I1" s="7" t="inlineStr">
        <is>
          <t>cable_families</t>
        </is>
      </c>
      <c r="J1" s="7" t="inlineStr">
        <is>
          <t>notes</t>
        </is>
      </c>
    </row>
    <row r="2">
      <c r="A2" t="inlineStr">
        <is>
          <t>conductor</t>
        </is>
      </c>
      <c r="B2" t="inlineStr">
        <is>
          <t>Conductor</t>
        </is>
      </c>
      <c r="C2" t="inlineStr">
        <is>
          <t>conductor_weight</t>
        </is>
      </c>
      <c r="D2" t="inlineStr">
        <is>
          <t>dc_resistance_ohm_per_km, conductor_material, num_wires</t>
        </is>
      </c>
      <c r="E2" t="inlineStr">
        <is>
          <t>copper_conductor</t>
        </is>
      </c>
      <c r="F2" t="inlineStr">
        <is>
          <t>No</t>
        </is>
      </c>
      <c r="G2" t="inlineStr">
        <is>
          <t>conductor</t>
        </is>
      </c>
      <c r="H2" t="inlineStr">
        <is>
          <t>No</t>
        </is>
      </c>
      <c r="I2" t="inlineStr">
        <is>
          <t>LT_PVC_FLEX, LT_XLPE_UNARM, LT_XLPE_ARMOURED, HT_11KV_SCREENED, CTRL_PVC_UNARM, CTRL_PVC_ARMOURED, MV_XLPE_SCREENED</t>
        </is>
      </c>
      <c r="J2" t="inlineStr">
        <is>
          <t>area_mm2 = ρ/R_DC × resistance_factor; weight_kg_km = area × density × lay_factor × num_cores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9" t="n"/>
    </row>
    <row r="4">
      <c r="A4" s="10" t="inlineStr">
        <is>
          <t>fine_wire_conductor</t>
        </is>
      </c>
      <c r="B4" s="10" t="inlineStr">
        <is>
          <t>Flexible Conductor (Class 5/6)</t>
        </is>
      </c>
      <c r="C4" s="10" t="inlineStr">
        <is>
          <t>conductor_weight</t>
        </is>
      </c>
      <c r="D4" s="10" t="inlineStr">
        <is>
          <t>dc_resistance_ohm_per_km, conductor_material, num_wires</t>
        </is>
      </c>
      <c r="E4" s="10" t="inlineStr">
        <is>
          <t>copper_conductor</t>
        </is>
      </c>
      <c r="F4" s="10" t="inlineStr">
        <is>
          <t>No</t>
        </is>
      </c>
      <c r="G4" s="10" t="inlineStr">
        <is>
          <t>fine_wire_conductor</t>
        </is>
      </c>
      <c r="H4" s="10" t="inlineStr">
        <is>
          <t>No</t>
        </is>
      </c>
      <c r="I4" s="10" t="inlineStr">
        <is>
          <t>FLEX_CLASS5, INSTR_SCREENED</t>
        </is>
      </c>
      <c r="J4" s="11" t="inlineStr">
        <is>
          <t>Same formula as conductor but uses fine_wire_conductor lay factor table (IS 694 Class 5/6 stranding)</t>
        </is>
      </c>
    </row>
    <row r="5">
      <c r="A5" s="8" t="inlineStr">
        <is>
          <t>xlpe_insulation</t>
        </is>
      </c>
      <c r="B5" s="8" t="inlineStr">
        <is>
          <t>XLPE Insulation</t>
        </is>
      </c>
      <c r="C5" s="8" t="inlineStr">
        <is>
          <t>annular_layer</t>
        </is>
      </c>
      <c r="D5" s="8" t="inlineStr">
        <is>
          <t>id_mm, nominal_thickness_mm, thickness_type</t>
        </is>
      </c>
      <c r="E5" s="8" t="inlineStr">
        <is>
          <t>xlpe_insulation</t>
        </is>
      </c>
      <c r="F5" s="8" t="inlineStr">
        <is>
          <t>Yes</t>
        </is>
      </c>
      <c r="G5" s="8" t="inlineStr">
        <is>
          <t>none</t>
        </is>
      </c>
      <c r="H5" s="8" t="inlineStr">
        <is>
          <t>No</t>
        </is>
      </c>
      <c r="I5" s="8" t="inlineStr">
        <is>
          <t>LT_XLPE_UNARM, LT_XLPE_ARMOURED, HT_11KV_SCREENED, MV_XLPE_SCREENED</t>
        </is>
      </c>
      <c r="J5" s="9" t="inlineStr">
        <is>
          <t>Tolerance factor applied to nominal thickness per Extrusion_Tolerances table; weight per core × num_cores</t>
        </is>
      </c>
    </row>
    <row r="6">
      <c r="A6" s="10" t="inlineStr">
        <is>
          <t>pvc_insulation</t>
        </is>
      </c>
      <c r="B6" s="10" t="inlineStr">
        <is>
          <t>PVC Insulation</t>
        </is>
      </c>
      <c r="C6" s="10" t="inlineStr">
        <is>
          <t>annular_layer</t>
        </is>
      </c>
      <c r="D6" s="10" t="inlineStr">
        <is>
          <t>id_mm, nominal_thickness_mm, thickness_type</t>
        </is>
      </c>
      <c r="E6" s="10" t="inlineStr">
        <is>
          <t>pvc_insulation</t>
        </is>
      </c>
      <c r="F6" s="10" t="inlineStr">
        <is>
          <t>Yes</t>
        </is>
      </c>
      <c r="G6" s="10" t="inlineStr">
        <is>
          <t>none</t>
        </is>
      </c>
      <c r="H6" s="10" t="inlineStr">
        <is>
          <t>No</t>
        </is>
      </c>
      <c r="I6" s="10" t="inlineStr">
        <is>
          <t>LT_PVC_FLEX, CTRL_PVC_UNARM, CTRL_PVC_ARMOURED, INSTR_SCREENED, FLEX_CLASS5</t>
        </is>
      </c>
      <c r="J6" s="11" t="inlineStr">
        <is>
          <t>Same annular formula as XLPE; density 1.40 g/cm³ for control/flexible, 1.50 for LT PVC flex</t>
        </is>
      </c>
    </row>
    <row r="7">
      <c r="A7" s="8" t="inlineStr">
        <is>
          <t>rubber_insulation</t>
        </is>
      </c>
      <c r="B7" s="8" t="inlineStr">
        <is>
          <t>EPDM / EPR Rubber Insulation</t>
        </is>
      </c>
      <c r="C7" s="8" t="inlineStr">
        <is>
          <t>annular_layer</t>
        </is>
      </c>
      <c r="D7" s="8" t="inlineStr">
        <is>
          <t>id_mm, nominal_thickness_mm, thickness_type</t>
        </is>
      </c>
      <c r="E7" s="8" t="inlineStr">
        <is>
          <t>rubber_epdm</t>
        </is>
      </c>
      <c r="F7" s="8" t="inlineStr">
        <is>
          <t>Yes</t>
        </is>
      </c>
      <c r="G7" s="8" t="inlineStr">
        <is>
          <t>none</t>
        </is>
      </c>
      <c r="H7" s="8" t="inlineStr">
        <is>
          <t>No</t>
        </is>
      </c>
      <c r="I7" s="8" t="inlineStr">
        <is>
          <t>FLEX_CLASS5</t>
        </is>
      </c>
      <c r="J7" s="9" t="inlineStr">
        <is>
          <t>Rubber compound insulation; density 1.35 g/cm³; otherwise same formula as XLPE</t>
        </is>
      </c>
    </row>
    <row r="8">
      <c r="A8" s="10" t="inlineStr">
        <is>
          <t>conductor_screen</t>
        </is>
      </c>
      <c r="B8" s="10" t="inlineStr">
        <is>
          <t>Conductor Screen (Semicon)</t>
        </is>
      </c>
      <c r="C8" s="10" t="inlineStr">
        <is>
          <t>annular_layer</t>
        </is>
      </c>
      <c r="D8" s="10" t="inlineStr">
        <is>
          <t>id_mm, nominal_thickness_mm, thickness_type</t>
        </is>
      </c>
      <c r="E8" s="10" t="inlineStr">
        <is>
          <t>semicon_screen</t>
        </is>
      </c>
      <c r="F8" s="10" t="inlineStr">
        <is>
          <t>Yes</t>
        </is>
      </c>
      <c r="G8" s="10" t="inlineStr">
        <is>
          <t>none</t>
        </is>
      </c>
      <c r="H8" s="10" t="inlineStr">
        <is>
          <t>No</t>
        </is>
      </c>
      <c r="I8" s="10" t="inlineStr">
        <is>
          <t>HT_11KV_SCREENED, MV_XLPE_SCREENED</t>
        </is>
      </c>
      <c r="J8" s="11" t="inlineStr">
        <is>
          <t>Inner semiconducting layer; co-extruded with XLPE in 3-in-1 process</t>
        </is>
      </c>
    </row>
    <row r="9">
      <c r="A9" s="8" t="inlineStr">
        <is>
          <t>insulation_screen</t>
        </is>
      </c>
      <c r="B9" s="8" t="inlineStr">
        <is>
          <t>Insulation Screen (Semicon)</t>
        </is>
      </c>
      <c r="C9" s="8" t="inlineStr">
        <is>
          <t>annular_layer</t>
        </is>
      </c>
      <c r="D9" s="8" t="inlineStr">
        <is>
          <t>id_mm, nominal_thickness_mm, thickness_type</t>
        </is>
      </c>
      <c r="E9" s="8" t="inlineStr">
        <is>
          <t>semicon_screen</t>
        </is>
      </c>
      <c r="F9" s="8" t="inlineStr">
        <is>
          <t>Yes</t>
        </is>
      </c>
      <c r="G9" s="8" t="inlineStr">
        <is>
          <t>none</t>
        </is>
      </c>
      <c r="H9" s="8" t="inlineStr">
        <is>
          <t>No</t>
        </is>
      </c>
      <c r="I9" s="8" t="inlineStr">
        <is>
          <t>HT_11KV_SCREENED, MV_XLPE_SCREENED</t>
        </is>
      </c>
      <c r="J9" s="9" t="inlineStr">
        <is>
          <t>Outer semiconducting layer; co-extruded in 3-in-1 process</t>
        </is>
      </c>
    </row>
    <row r="10">
      <c r="A10" s="10" t="inlineStr">
        <is>
          <t>copper_tape_screen</t>
        </is>
      </c>
      <c r="B10" s="10" t="inlineStr">
        <is>
          <t>Copper Tape Screen</t>
        </is>
      </c>
      <c r="C10" s="10" t="inlineStr">
        <is>
          <t>copper_tape_screen</t>
        </is>
      </c>
      <c r="D10" s="10" t="inlineStr">
        <is>
          <t>mean_od_mm, tape_thickness_mm, tape_overlap_pct</t>
        </is>
      </c>
      <c r="E10" s="10" t="inlineStr">
        <is>
          <t>copper_tape_screen</t>
        </is>
      </c>
      <c r="F10" s="10" t="inlineStr">
        <is>
          <t>No</t>
        </is>
      </c>
      <c r="G10" s="10" t="inlineStr">
        <is>
          <t>none</t>
        </is>
      </c>
      <c r="H10" s="10" t="inlineStr">
        <is>
          <t>No</t>
        </is>
      </c>
      <c r="I10" s="10" t="inlineStr">
        <is>
          <t>HT_11KV_SCREENED, MV_XLPE_SCREENED</t>
        </is>
      </c>
      <c r="J10" s="11" t="inlineStr">
        <is>
          <t>weight = π × mean_OD × (1 + overlap/100) × thickness × density × num_cores; standard overlap 15%</t>
        </is>
      </c>
    </row>
    <row r="11">
      <c r="A11" s="8" t="inlineStr">
        <is>
          <t>copper_wire_screen</t>
        </is>
      </c>
      <c r="B11" s="8" t="inlineStr">
        <is>
          <t>Copper Wire Concentric Screen</t>
        </is>
      </c>
      <c r="C11" s="8" t="inlineStr">
        <is>
          <t>copper_wire_screen</t>
        </is>
      </c>
      <c r="D11" s="8" t="inlineStr">
        <is>
          <t>D_screen_mm, n_wires, wire_diameter_mm</t>
        </is>
      </c>
      <c r="E11" s="8" t="inlineStr">
        <is>
          <t>copper_wire_screen</t>
        </is>
      </c>
      <c r="F11" s="8" t="inlineStr">
        <is>
          <t>No</t>
        </is>
      </c>
      <c r="G11" s="8" t="inlineStr">
        <is>
          <t>none</t>
        </is>
      </c>
      <c r="H11" s="8" t="inlineStr">
        <is>
          <t>No</t>
        </is>
      </c>
      <c r="I11" s="8" t="inlineStr">
        <is>
          <t>MV_XLPE_SCREENED</t>
        </is>
      </c>
      <c r="J11" s="9" t="inlineStr">
        <is>
          <t>Alternative to copper tape; weight = n_wires × (π/4 × d²) × density × lay_factor × num_cores</t>
        </is>
      </c>
    </row>
    <row r="12">
      <c r="A12" s="10" t="inlineStr">
        <is>
          <t>swelling_tape</t>
        </is>
      </c>
      <c r="B12" s="10" t="inlineStr">
        <is>
          <t>Swelling / Water-Blocking Tape</t>
        </is>
      </c>
      <c r="C12" s="10" t="inlineStr">
        <is>
          <t>tape_wrap</t>
        </is>
      </c>
      <c r="D12" s="10" t="inlineStr">
        <is>
          <t>mean_od_mm, tape_thickness_mm, overlap_pct</t>
        </is>
      </c>
      <c r="E12" s="10" t="inlineStr">
        <is>
          <t>swelling_tape</t>
        </is>
      </c>
      <c r="F12" s="10" t="inlineStr">
        <is>
          <t>No</t>
        </is>
      </c>
      <c r="G12" s="10" t="inlineStr">
        <is>
          <t>none</t>
        </is>
      </c>
      <c r="H12" s="10" t="inlineStr">
        <is>
          <t>No</t>
        </is>
      </c>
      <c r="I12" s="10" t="inlineStr">
        <is>
          <t>MV_XLPE_SCREENED</t>
        </is>
      </c>
      <c r="J12" s="11" t="inlineStr">
        <is>
          <t>Longitudinal water-blocking tape; weight = π × mean_OD × (1+overlap/100) × thickness × density</t>
        </is>
      </c>
    </row>
    <row r="13">
      <c r="A13" s="8" t="inlineStr">
        <is>
          <t>bedding</t>
        </is>
      </c>
      <c r="B13" s="8" t="inlineStr">
        <is>
          <t>Bedding / PVC Inner Sheath</t>
        </is>
      </c>
      <c r="C13" s="8" t="inlineStr">
        <is>
          <t>annular_layer</t>
        </is>
      </c>
      <c r="D13" s="8" t="inlineStr">
        <is>
          <t>id_mm, nominal_thickness_mm, thickness_type</t>
        </is>
      </c>
      <c r="E13" s="8" t="inlineStr">
        <is>
          <t>pvc_armoured_sheath</t>
        </is>
      </c>
      <c r="F13" s="8" t="inlineStr">
        <is>
          <t>Yes</t>
        </is>
      </c>
      <c r="G13" s="8" t="inlineStr">
        <is>
          <t>cabling</t>
        </is>
      </c>
      <c r="H13" s="8" t="inlineStr">
        <is>
          <t>Yes</t>
        </is>
      </c>
      <c r="I13" s="8" t="inlineStr">
        <is>
          <t>LT_XLPE_ARMOURED, HT_11KV_SCREENED, MV_XLPE_SCREENED</t>
        </is>
      </c>
      <c r="J13" s="9" t="inlineStr">
        <is>
          <t>Inner sheath over cabled cores before armour; cabling lay factor applied</t>
        </is>
      </c>
    </row>
    <row r="14">
      <c r="A14" s="10" t="inlineStr">
        <is>
          <t>pvc_inner_sheath</t>
        </is>
      </c>
      <c r="B14" s="10" t="inlineStr">
        <is>
          <t>PVC Inner Sheath</t>
        </is>
      </c>
      <c r="C14" s="10" t="inlineStr">
        <is>
          <t>annular_layer</t>
        </is>
      </c>
      <c r="D14" s="10" t="inlineStr">
        <is>
          <t>id_mm, nominal_thickness_mm, thickness_type</t>
        </is>
      </c>
      <c r="E14" s="10" t="inlineStr">
        <is>
          <t>pvc_inner_sheath</t>
        </is>
      </c>
      <c r="F14" s="10" t="inlineStr">
        <is>
          <t>Yes</t>
        </is>
      </c>
      <c r="G14" s="10" t="inlineStr">
        <is>
          <t>cabling</t>
        </is>
      </c>
      <c r="H14" s="10" t="inlineStr">
        <is>
          <t>Yes</t>
        </is>
      </c>
      <c r="I14" s="10" t="inlineStr">
        <is>
          <t>CTRL_PVC_UNARM, CTRL_PVC_ARMOURED, INSTR_SCREENED</t>
        </is>
      </c>
      <c r="J14" s="11" t="inlineStr">
        <is>
          <t>PVC inner sheath in control/instrumentation cables</t>
        </is>
      </c>
    </row>
    <row r="15">
      <c r="A15" s="8" t="inlineStr">
        <is>
          <t>gs_flat_strip_armour</t>
        </is>
      </c>
      <c r="B15" s="8" t="inlineStr">
        <is>
          <t>GS Flat Strip Armour</t>
        </is>
      </c>
      <c r="C15" s="8" t="inlineStr">
        <is>
          <t>flat_strip_armour</t>
        </is>
      </c>
      <c r="D15" s="8" t="inlineStr">
        <is>
          <t>D_under_armour_mm, strip_width_mm, strip_thickness_mm, gap_mm</t>
        </is>
      </c>
      <c r="E15" s="8" t="inlineStr">
        <is>
          <t>gs_flat_strip_armour</t>
        </is>
      </c>
      <c r="F15" s="8" t="inlineStr">
        <is>
          <t>No</t>
        </is>
      </c>
      <c r="G15" s="8" t="inlineStr">
        <is>
          <t>armour</t>
        </is>
      </c>
      <c r="H15" s="8" t="inlineStr">
        <is>
          <t>No</t>
        </is>
      </c>
      <c r="I15" s="8" t="inlineStr">
        <is>
          <t>LT_XLPE_ARMOURED, HT_11KV_SCREENED, MV_XLPE_SCREENED</t>
        </is>
      </c>
      <c r="J15" s="9" t="inlineStr">
        <is>
          <t>n_strips = π(D_ua + t) / (w + gap); weight = n × w × t × 7.85 × lay × coverage_factor; IS 7098</t>
        </is>
      </c>
    </row>
    <row r="16">
      <c r="A16" s="10" t="inlineStr">
        <is>
          <t>gs_round_wire_armour</t>
        </is>
      </c>
      <c r="B16" s="10" t="inlineStr">
        <is>
          <t>GS Round Wire Armour (SWA/AWA)</t>
        </is>
      </c>
      <c r="C16" s="10" t="inlineStr">
        <is>
          <t>round_wire_armour</t>
        </is>
      </c>
      <c r="D16" s="10" t="inlineStr">
        <is>
          <t>D_under_armour_mm, wire_diameter_mm, gap_mm</t>
        </is>
      </c>
      <c r="E16" s="10" t="inlineStr">
        <is>
          <t>gs_round_wire_armour</t>
        </is>
      </c>
      <c r="F16" s="10" t="inlineStr">
        <is>
          <t>No</t>
        </is>
      </c>
      <c r="G16" s="10" t="inlineStr">
        <is>
          <t>round_wire_armour</t>
        </is>
      </c>
      <c r="H16" s="10" t="inlineStr">
        <is>
          <t>No</t>
        </is>
      </c>
      <c r="I16" s="10" t="inlineStr">
        <is>
          <t>CTRL_PVC_ARMOURED, INSTR_SCREENED</t>
        </is>
      </c>
      <c r="J16" s="11" t="inlineStr">
        <is>
          <t>n_wires = π(D_ua + d_w) / (d_w + gap); weight = n × (π/4 × d²) × 7.85 × lay × coverage</t>
        </is>
      </c>
    </row>
    <row r="17">
      <c r="A17" s="8" t="inlineStr">
        <is>
          <t>pe_tape</t>
        </is>
      </c>
      <c r="B17" s="8" t="inlineStr">
        <is>
          <t>PE Tape Screen</t>
        </is>
      </c>
      <c r="C17" s="8" t="inlineStr">
        <is>
          <t>tape_wrap</t>
        </is>
      </c>
      <c r="D17" s="8" t="inlineStr">
        <is>
          <t>tape_thickness_mm, overlap_pct, n_pairs</t>
        </is>
      </c>
      <c r="E17" s="8" t="inlineStr">
        <is>
          <t>pe_tape</t>
        </is>
      </c>
      <c r="F17" s="8" t="inlineStr">
        <is>
          <t>No</t>
        </is>
      </c>
      <c r="G17" s="8" t="inlineStr">
        <is>
          <t>none</t>
        </is>
      </c>
      <c r="H17" s="8" t="inlineStr">
        <is>
          <t>No</t>
        </is>
      </c>
      <c r="I17" s="8" t="inlineStr">
        <is>
          <t>INSTR_SCREENED</t>
        </is>
      </c>
      <c r="J17" s="9" t="inlineStr">
        <is>
          <t>PE backing tape, first layer of individual pair screen; default 40 microns, 15% overlap, density 1.50 g/cm³</t>
        </is>
      </c>
    </row>
    <row r="18">
      <c r="A18" s="10" t="inlineStr">
        <is>
          <t>al_mylar_pe_tape</t>
        </is>
      </c>
      <c r="B18" s="10" t="inlineStr">
        <is>
          <t>Al Mylar PE Screen</t>
        </is>
      </c>
      <c r="C18" s="10" t="inlineStr">
        <is>
          <t>tape_wrap</t>
        </is>
      </c>
      <c r="D18" s="10" t="inlineStr">
        <is>
          <t>tape_thickness_mm, overlap_pct, n_pairs</t>
        </is>
      </c>
      <c r="E18" s="10" t="inlineStr">
        <is>
          <t>al_mylar_pe_tape</t>
        </is>
      </c>
      <c r="F18" s="10" t="inlineStr">
        <is>
          <t>No</t>
        </is>
      </c>
      <c r="G18" s="10" t="inlineStr">
        <is>
          <t>none</t>
        </is>
      </c>
      <c r="H18" s="10" t="inlineStr">
        <is>
          <t>No</t>
        </is>
      </c>
      <c r="I18" s="10" t="inlineStr">
        <is>
          <t>INSTR_SCREENED</t>
        </is>
      </c>
      <c r="J18" s="11" t="inlineStr">
        <is>
          <t>Al Mylar + PE laminate tape, second layer of individual pair screen; default 40 microns, 15% overlap, density 1.50 g/cm³</t>
        </is>
      </c>
    </row>
    <row r="19">
      <c r="A19" s="8" t="inlineStr">
        <is>
          <t>drain_wire</t>
        </is>
      </c>
      <c r="B19" s="8" t="inlineStr">
        <is>
          <t>Drain Wire</t>
        </is>
      </c>
      <c r="C19" s="8" t="inlineStr">
        <is>
          <t>fixed_weight</t>
        </is>
      </c>
      <c r="D19" s="8" t="inlineStr">
        <is>
          <t>n_pairs</t>
        </is>
      </c>
      <c r="E19" s="8" t="inlineStr"/>
      <c r="F19" s="8" t="inlineStr">
        <is>
          <t>No</t>
        </is>
      </c>
      <c r="G19" s="8" t="inlineStr">
        <is>
          <t>none</t>
        </is>
      </c>
      <c r="H19" s="8" t="inlineStr">
        <is>
          <t>No</t>
        </is>
      </c>
      <c r="I19" s="8" t="inlineStr">
        <is>
          <t>INSTR_SCREENED</t>
        </is>
      </c>
      <c r="J19" s="9" t="inlineStr">
        <is>
          <t>Bare copper drain wire (7/0.3mm or 0.5mm²) alongside each pair screen; fixed weight 4.5 kg/km costing / 3.0 kg/km production per pair; also bumps under-screen OD by 0.5mm</t>
        </is>
      </c>
    </row>
    <row r="20">
      <c r="A20" s="10" t="inlineStr">
        <is>
          <t>pp_filler</t>
        </is>
      </c>
      <c r="B20" s="10" t="inlineStr">
        <is>
          <t>PP Rope Filler</t>
        </is>
      </c>
      <c r="C20" s="10" t="inlineStr">
        <is>
          <t>pp_filler</t>
        </is>
      </c>
      <c r="D20" s="10" t="inlineStr">
        <is>
          <t>od_cabled_mm, od_core_mm, n_cores, fill_factor</t>
        </is>
      </c>
      <c r="E20" s="10" t="inlineStr">
        <is>
          <t>pp_filler</t>
        </is>
      </c>
      <c r="F20" s="10" t="inlineStr">
        <is>
          <t>No</t>
        </is>
      </c>
      <c r="G20" s="10" t="inlineStr">
        <is>
          <t>none</t>
        </is>
      </c>
      <c r="H20" s="10" t="inlineStr">
        <is>
          <t>No</t>
        </is>
      </c>
      <c r="I20" s="10" t="inlineStr">
        <is>
          <t>MV_XLPE_SCREENED</t>
        </is>
      </c>
      <c r="J20" s="11" t="inlineStr">
        <is>
          <t>Fills interstices between cabled cores; weight = ((π/4×OD_cab²) - n×(π/4×OD_core²)) × fill_factor × density; typical fill_factor 0.87</t>
        </is>
      </c>
    </row>
    <row r="21">
      <c r="A21" s="8" t="inlineStr">
        <is>
          <t>binding_tape</t>
        </is>
      </c>
      <c r="B21" s="8" t="inlineStr">
        <is>
          <t>Binding Tape (over cabling)</t>
        </is>
      </c>
      <c r="C21" s="8" t="inlineStr">
        <is>
          <t>tape_wrap</t>
        </is>
      </c>
      <c r="D21" s="8" t="inlineStr">
        <is>
          <t>mean_od_mm, tape_thickness_mm, overlap_pct</t>
        </is>
      </c>
      <c r="E21" s="8" t="inlineStr">
        <is>
          <t>binding_tape_pp</t>
        </is>
      </c>
      <c r="F21" s="8" t="inlineStr">
        <is>
          <t>No</t>
        </is>
      </c>
      <c r="G21" s="8" t="inlineStr">
        <is>
          <t>none</t>
        </is>
      </c>
      <c r="H21" s="8" t="inlineStr">
        <is>
          <t>No</t>
        </is>
      </c>
      <c r="I21" s="8" t="inlineStr">
        <is>
          <t>INSTR_SCREENED, MV_XLPE_SCREENED</t>
        </is>
      </c>
      <c r="J21" s="9" t="inlineStr">
        <is>
          <t>PP/polyester tape over cabled assembly before sheath; weight = π × mean_OD × (1+overlap/100) × t × density</t>
        </is>
      </c>
    </row>
    <row r="22">
      <c r="A22" s="10" t="inlineStr">
        <is>
          <t>binder_tape</t>
        </is>
      </c>
      <c r="B22" s="10" t="inlineStr">
        <is>
          <t>Binder Tape (over insulated cores)</t>
        </is>
      </c>
      <c r="C22" s="10" t="inlineStr">
        <is>
          <t>tape_wrap</t>
        </is>
      </c>
      <c r="D22" s="10" t="inlineStr">
        <is>
          <t>mean_od_mm, tape_thickness_mm, overlap_pct</t>
        </is>
      </c>
      <c r="E22" s="10" t="inlineStr">
        <is>
          <t>binder_tape</t>
        </is>
      </c>
      <c r="F22" s="10" t="inlineStr">
        <is>
          <t>No</t>
        </is>
      </c>
      <c r="G22" s="10" t="inlineStr">
        <is>
          <t>none</t>
        </is>
      </c>
      <c r="H22" s="10" t="inlineStr">
        <is>
          <t>No</t>
        </is>
      </c>
      <c r="I22" s="10" t="inlineStr">
        <is>
          <t>CTRL_PVC_UNARM, CTRL_PVC_ARMOURED</t>
        </is>
      </c>
      <c r="J22" s="11" t="inlineStr">
        <is>
          <t>Applied over cabled insulated cores before inner sheath; weight = π × mean_OD × (1+overlap/100) × t × density</t>
        </is>
      </c>
    </row>
    <row r="23">
      <c r="A23" s="8" t="inlineStr">
        <is>
          <t>frlsh_outer_sheath</t>
        </is>
      </c>
      <c r="B23" s="8" t="inlineStr">
        <is>
          <t>FRLSH Outer Sheath</t>
        </is>
      </c>
      <c r="C23" s="8" t="inlineStr">
        <is>
          <t>annular_layer</t>
        </is>
      </c>
      <c r="D23" s="8" t="inlineStr">
        <is>
          <t>id_mm, nominal_thickness_mm, thickness_type</t>
        </is>
      </c>
      <c r="E23" s="8" t="inlineStr">
        <is>
          <t>frlsh_sheath</t>
        </is>
      </c>
      <c r="F23" s="8" t="inlineStr">
        <is>
          <t>Yes</t>
        </is>
      </c>
      <c r="G23" s="8" t="inlineStr">
        <is>
          <t>cabling</t>
        </is>
      </c>
      <c r="H23" s="8" t="inlineStr">
        <is>
          <t>Yes</t>
        </is>
      </c>
      <c r="I23" s="8" t="inlineStr">
        <is>
          <t>LT_XLPE_UNARM, LT_XLPE_ARMOURED, HT_11KV_SCREENED, MV_XLPE_SCREENED</t>
        </is>
      </c>
      <c r="J23" s="9" t="inlineStr">
        <is>
          <t>FR-LSH compound outer sheath; cabling lay factor applied</t>
        </is>
      </c>
    </row>
    <row r="24">
      <c r="A24" s="10" t="inlineStr">
        <is>
          <t>pvc_outer_sheath</t>
        </is>
      </c>
      <c r="B24" s="10" t="inlineStr">
        <is>
          <t>PVC Outer Sheath</t>
        </is>
      </c>
      <c r="C24" s="10" t="inlineStr">
        <is>
          <t>annular_layer</t>
        </is>
      </c>
      <c r="D24" s="10" t="inlineStr">
        <is>
          <t>id_mm, nominal_thickness_mm, thickness_type</t>
        </is>
      </c>
      <c r="E24" s="10" t="inlineStr">
        <is>
          <t>pvc_outer_sheath</t>
        </is>
      </c>
      <c r="F24" s="10" t="inlineStr">
        <is>
          <t>Yes</t>
        </is>
      </c>
      <c r="G24" s="10" t="inlineStr">
        <is>
          <t>cabling</t>
        </is>
      </c>
      <c r="H24" s="10" t="inlineStr">
        <is>
          <t>Yes</t>
        </is>
      </c>
      <c r="I24" s="10" t="inlineStr">
        <is>
          <t>CTRL_PVC_UNARM, CTRL_PVC_ARMOURED, INSTR_SCREENED, FLEX_CLASS5</t>
        </is>
      </c>
      <c r="J24" s="11" t="inlineStr">
        <is>
          <t>PVC outer sheath; cabling lay factor applied</t>
        </is>
      </c>
    </row>
    <row r="25">
      <c r="A25" s="8" t="inlineStr">
        <is>
          <t>pvc_frlsh_sheath</t>
        </is>
      </c>
      <c r="B25" s="8" t="inlineStr">
        <is>
          <t>PVC / FRLSH Sheath (combined)</t>
        </is>
      </c>
      <c r="C25" s="8" t="inlineStr">
        <is>
          <t>annular_layer</t>
        </is>
      </c>
      <c r="D25" s="8" t="inlineStr">
        <is>
          <t>id_mm, nominal_thickness_mm, thickness_type</t>
        </is>
      </c>
      <c r="E25" s="8" t="inlineStr">
        <is>
          <t>frlsh_sheath</t>
        </is>
      </c>
      <c r="F25" s="8" t="inlineStr">
        <is>
          <t>Yes</t>
        </is>
      </c>
      <c r="G25" s="8" t="inlineStr">
        <is>
          <t>cabling</t>
        </is>
      </c>
      <c r="H25" s="8" t="inlineStr">
        <is>
          <t>Yes</t>
        </is>
      </c>
      <c r="I25" s="8" t="inlineStr">
        <is>
          <t>LT_PVC_FLEX</t>
        </is>
      </c>
      <c r="J25" s="9" t="inlineStr">
        <is>
          <t>Combined designation for PVC or FR-LSH outer sheath in LT PVC flexible family</t>
        </is>
      </c>
    </row>
    <row r="26">
      <c r="A26" s="10" t="inlineStr">
        <is>
          <t>glass_mica_tape</t>
        </is>
      </c>
      <c r="B26" s="10" t="inlineStr">
        <is>
          <t>Glass Mica Fire Barrier Tape</t>
        </is>
      </c>
      <c r="C26" s="10" t="inlineStr">
        <is>
          <t>tape_wrap</t>
        </is>
      </c>
      <c r="D26" s="10" t="inlineStr">
        <is>
          <t>mean_od_mm, tape_thickness_mm, n_tapes</t>
        </is>
      </c>
      <c r="E26" s="10" t="inlineStr">
        <is>
          <t>glass_mica_tape</t>
        </is>
      </c>
      <c r="F26" s="10" t="inlineStr">
        <is>
          <t>No</t>
        </is>
      </c>
      <c r="G26" s="10" t="inlineStr">
        <is>
          <t>none</t>
        </is>
      </c>
      <c r="H26" s="10" t="inlineStr">
        <is>
          <t>No</t>
        </is>
      </c>
      <c r="I26" s="10" t="inlineStr">
        <is>
          <t>FIRE_SURVIVAL</t>
        </is>
      </c>
      <c r="J26" s="11" t="inlineStr">
        <is>
          <t>Glass mica tape applied per-core over conductor (before insulation); n_tapes=2; thickness: 0.12mm costing / 0.11mm production; overlap: 30% costing / 25% production; density=1.40 g/cm³; formula: n_tapes × π × (D+t) × (1+overlap/100) × t × density × n_cores</t>
        </is>
      </c>
    </row>
    <row r="27">
      <c r="A27" s="8" t="inlineStr">
        <is>
          <t>lszh_outer_sheath</t>
        </is>
      </c>
      <c r="B27" s="8" t="inlineStr">
        <is>
          <t>LSZH Outer Sheath</t>
        </is>
      </c>
      <c r="C27" s="8" t="inlineStr">
        <is>
          <t>annular_layer</t>
        </is>
      </c>
      <c r="D27" s="8" t="inlineStr">
        <is>
          <t>id_mm, nominal_thickness_mm, thickness_type</t>
        </is>
      </c>
      <c r="E27" s="8" t="inlineStr">
        <is>
          <t>frlsh_sheath</t>
        </is>
      </c>
      <c r="F27" s="8" t="inlineStr">
        <is>
          <t>Yes</t>
        </is>
      </c>
      <c r="G27" s="8" t="inlineStr">
        <is>
          <t>cabling</t>
        </is>
      </c>
      <c r="H27" s="8" t="inlineStr">
        <is>
          <t>Yes</t>
        </is>
      </c>
      <c r="I27" s="8" t="inlineStr">
        <is>
          <t>FIRE_SURVIVAL</t>
        </is>
      </c>
      <c r="J27" s="9" t="inlineStr">
        <is>
          <t>Low Smoke Zero Halogen outer sheath per IS 17505; uses FRLSH density (~1.35 g/cm³); same annular formula as frlsh_outer_sheath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10" customWidth="1" min="4" max="4"/>
    <col width="80" customWidth="1" min="5" max="5"/>
    <col width="80" customWidth="1" min="6" max="6"/>
  </cols>
  <sheetData>
    <row r="1">
      <c r="A1" s="7" t="inlineStr">
        <is>
          <t>code</t>
        </is>
      </c>
      <c r="B1" s="7" t="inlineStr">
        <is>
          <t>name</t>
        </is>
      </c>
      <c r="C1" s="7" t="inlineStr">
        <is>
          <t>standard</t>
        </is>
      </c>
      <c r="D1" s="7" t="inlineStr">
        <is>
          <t>voltage_kv</t>
        </is>
      </c>
      <c r="E1" s="7" t="inlineStr">
        <is>
          <t>layer_sequence</t>
        </is>
      </c>
      <c r="F1" s="7" t="inlineStr">
        <is>
          <t>operations</t>
        </is>
      </c>
    </row>
    <row r="2" ht="48" customHeight="1">
      <c r="A2" s="10" t="inlineStr">
        <is>
          <t>LT_PVC_FLEX</t>
        </is>
      </c>
      <c r="B2" s="10" t="inlineStr">
        <is>
          <t>LT PVC Flexible</t>
        </is>
      </c>
      <c r="C2" s="10" t="inlineStr">
        <is>
          <t>IS 694</t>
        </is>
      </c>
      <c r="D2" s="10" t="inlineStr">
        <is>
          <t>1.1</t>
        </is>
      </c>
      <c r="E2" s="11" t="inlineStr">
        <is>
          <t>conductor → pvc_insulation → pvc_frlsh_sheath</t>
        </is>
      </c>
      <c r="F2" s="11" t="inlineStr">
        <is>
          <t>Bunching/Stranding | Insulation Extrusion | Core Colour/Numbering | Cabling/Laying Up | Outer Sheath Extrusion | Drum Winding</t>
        </is>
      </c>
    </row>
    <row r="3" ht="48" customHeight="1">
      <c r="A3" s="8" t="inlineStr">
        <is>
          <t>LT_XLPE_UNARM</t>
        </is>
      </c>
      <c r="B3" s="8" t="inlineStr">
        <is>
          <t>LT XLPE Unarmoured</t>
        </is>
      </c>
      <c r="C3" s="8" t="inlineStr">
        <is>
          <t>IS 7098-1</t>
        </is>
      </c>
      <c r="D3" s="8" t="inlineStr">
        <is>
          <t>1.1</t>
        </is>
      </c>
      <c r="E3" s="9" t="inlineStr">
        <is>
          <t>conductor → xlpe_insulation → frlsh_outer_sheath</t>
        </is>
      </c>
      <c r="F3" s="9" t="inlineStr">
        <is>
          <t>Stranding | Insulation Extrusion (XLPE) | Core Colour/Numbering | Cabling/Laying Up | Outer Sheath Extrusion | Drum Winding</t>
        </is>
      </c>
    </row>
    <row r="4" ht="48" customHeight="1">
      <c r="A4" s="10" t="inlineStr">
        <is>
          <t>LT_XLPE_ARMOURED</t>
        </is>
      </c>
      <c r="B4" s="10" t="inlineStr">
        <is>
          <t>LT XLPE Flat Strip Armoured</t>
        </is>
      </c>
      <c r="C4" s="10" t="inlineStr">
        <is>
          <t>IS 7098-1</t>
        </is>
      </c>
      <c r="D4" s="10" t="inlineStr">
        <is>
          <t>1.1</t>
        </is>
      </c>
      <c r="E4" s="11" t="inlineStr">
        <is>
          <t>conductor → xlpe_insulation → bedding → gs_flat_strip_armour → frlsh_outer_sheath</t>
        </is>
      </c>
      <c r="F4" s="11" t="inlineStr">
        <is>
          <t>Stranding | Insulation Extrusion (XLPE) | Core Colour/Numbering | Cabling/Laying Up | Bedding Tape/Extrusion | Armoring | Outer Sheath Extrusion | Drum Winding</t>
        </is>
      </c>
    </row>
    <row r="5" ht="48" customHeight="1">
      <c r="A5" s="8" t="inlineStr">
        <is>
          <t>HT_11KV_SCREENED</t>
        </is>
      </c>
      <c r="B5" s="8" t="inlineStr">
        <is>
          <t>HT 11kV XLPE Screened Armoured</t>
        </is>
      </c>
      <c r="C5" s="8" t="inlineStr">
        <is>
          <t>IS 7098-2</t>
        </is>
      </c>
      <c r="D5" s="8" t="inlineStr">
        <is>
          <t>11</t>
        </is>
      </c>
      <c r="E5" s="9" t="inlineStr">
        <is>
          <t>conductor → conductor_screen → xlpe_insulation → insulation_screen → copper_tape_screen → bedding → gs_flat_strip_armour → frlsh_outer_sheath</t>
        </is>
      </c>
      <c r="F5" s="9" t="inlineStr">
        <is>
          <t>Stranding | 3-in-1 Extrusion (Cond.Screen + XLPE + Ins.Screen) | Core Identification | Copper Tape Wrapping | Cabling/Laying Up | Bedding Extrusion | Armoring | Outer Sheath Extrusion | Drum Winding</t>
        </is>
      </c>
    </row>
    <row r="6" ht="48" customHeight="1">
      <c r="A6" s="10" t="inlineStr">
        <is>
          <t>CTRL_PVC_UNARM</t>
        </is>
      </c>
      <c r="B6" s="10" t="inlineStr">
        <is>
          <t>Control Cable PVC Unarmoured</t>
        </is>
      </c>
      <c r="C6" s="10" t="inlineStr">
        <is>
          <t>IS 1554-1</t>
        </is>
      </c>
      <c r="D6" s="10" t="inlineStr">
        <is>
          <t>1.1</t>
        </is>
      </c>
      <c r="E6" s="11" t="inlineStr">
        <is>
          <t>conductor → pvc_insulation → binder_tape → pvc_inner_sheath → pvc_outer_sheath</t>
        </is>
      </c>
      <c r="F6" s="11" t="inlineStr">
        <is>
          <t>Bunching/Stranding | PVC Insulation Extrusion | Core Identification/Numbering | Cabling/Laying Up | Binder Tape Application | Inner Sheath Extrusion | Outer Sheath Extrusion | Drum Winding</t>
        </is>
      </c>
    </row>
    <row r="7" ht="48" customHeight="1">
      <c r="A7" s="8" t="inlineStr">
        <is>
          <t>CTRL_PVC_ARMOURED</t>
        </is>
      </c>
      <c r="B7" s="8" t="inlineStr">
        <is>
          <t>Control Cable PVC Round Wire Armoured</t>
        </is>
      </c>
      <c r="C7" s="8" t="inlineStr">
        <is>
          <t>IS 1554-1</t>
        </is>
      </c>
      <c r="D7" s="8" t="inlineStr">
        <is>
          <t>1.1</t>
        </is>
      </c>
      <c r="E7" s="9" t="inlineStr">
        <is>
          <t>conductor → pvc_insulation → binder_tape → pvc_inner_sheath → gs_round_wire_armour → pvc_outer_sheath</t>
        </is>
      </c>
      <c r="F7" s="9" t="inlineStr">
        <is>
          <t>Bunching/Stranding | PVC Insulation Extrusion | Core Identification/Numbering | Cabling/Laying Up | Binder Tape Application | Inner Sheath Extrusion | Round Wire Armoring | Outer Sheath Extrusion | Drum Winding</t>
        </is>
      </c>
    </row>
    <row r="8" ht="48" customHeight="1">
      <c r="A8" s="10" t="inlineStr">
        <is>
          <t>MV_XLPE_SCREENED</t>
        </is>
      </c>
      <c r="B8" s="10" t="inlineStr">
        <is>
          <t>MV 22kV/33kV XLPE Screened Armoured</t>
        </is>
      </c>
      <c r="C8" s="10" t="inlineStr">
        <is>
          <t>IS 7098-2/3</t>
        </is>
      </c>
      <c r="D8" s="10" t="inlineStr">
        <is>
          <t>22/33</t>
        </is>
      </c>
      <c r="E8" s="11" t="inlineStr">
        <is>
          <t>conductor → conductor_screen → xlpe_insulation → insulation_screen → copper_tape_screen → swelling_tape → bedding → gs_flat_strip_armour → frlsh_outer_sheath</t>
        </is>
      </c>
      <c r="F8" s="11" t="inlineStr">
        <is>
          <t>Stranding | 3-in-1 Extrusion (Cond.Screen + XLPE + Ins.Screen) | Core Identification | Copper Tape Wrapping | Swelling Tape Application | Cabling/Laying Up | Bedding Extrusion | Armoring | Outer Sheath Extrusion | Drum Winding</t>
        </is>
      </c>
    </row>
    <row r="9" ht="48" customHeight="1">
      <c r="A9" s="8" t="inlineStr">
        <is>
          <t>INSTR_SCREENED</t>
        </is>
      </c>
      <c r="B9" s="8" t="inlineStr">
        <is>
          <t>Instrumentation Cable Screened</t>
        </is>
      </c>
      <c r="C9" s="8" t="inlineStr">
        <is>
          <t>IS 1554 / IEC 60092</t>
        </is>
      </c>
      <c r="D9" s="8" t="inlineStr">
        <is>
          <t>0.25</t>
        </is>
      </c>
      <c r="E9" s="9" t="inlineStr">
        <is>
          <t>conductor → pvc_insulation → petp_tape_screen → drain_wire → binding_tape → pvc_inner_sheath → gs_round_wire_armour → pvc_outer_sheath</t>
        </is>
      </c>
      <c r="F9" s="9" t="inlineStr">
        <is>
          <t>Bunching/Stranding | PVC Insulation Extrusion | Pair/Triple Formation | PETP Tape + Drain Wire Application | Cabling/Laying Up | Binding Tape Application | Inner Sheath Extrusion | Armoring | Outer Sheath Extrusion | Drum Winding</t>
        </is>
      </c>
    </row>
    <row r="10" ht="48" customHeight="1">
      <c r="A10" s="10" t="inlineStr">
        <is>
          <t>FLEX_CLASS5</t>
        </is>
      </c>
      <c r="B10" s="10" t="inlineStr">
        <is>
          <t>Flexible Cable Class 5/6</t>
        </is>
      </c>
      <c r="C10" s="10" t="inlineStr">
        <is>
          <t>IS 694 / IEC 60227</t>
        </is>
      </c>
      <c r="D10" s="10" t="inlineStr">
        <is>
          <t>0.3</t>
        </is>
      </c>
      <c r="E10" s="11" t="inlineStr">
        <is>
          <t>fine_wire_conductor → pvc_insulation → pvc_outer_sheath</t>
        </is>
      </c>
      <c r="F10" s="11" t="inlineStr">
        <is>
          <t>Bunching (Class 5/6) | PVC Insulation Extrusion | Core Colour/Numbering | Cabling/Laying Up | Outer Sheath Extrusion | Drum/Coil Winding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22" customWidth="1" min="4" max="4"/>
    <col width="12" customWidth="1" min="5" max="5"/>
  </cols>
  <sheetData>
    <row r="1">
      <c r="A1" s="12" t="inlineStr">
        <is>
          <t>Material Densities (g/cm³)</t>
        </is>
      </c>
    </row>
    <row r="2">
      <c r="A2" s="7" t="inlineStr">
        <is>
          <t>material_code</t>
        </is>
      </c>
      <c r="B2" s="7" t="inlineStr">
        <is>
          <t>description</t>
        </is>
      </c>
      <c r="C2" s="7" t="inlineStr">
        <is>
          <t>density_costing</t>
        </is>
      </c>
      <c r="D2" s="7" t="inlineStr">
        <is>
          <t>density_production</t>
        </is>
      </c>
      <c r="E2" s="7" t="inlineStr">
        <is>
          <t>unit</t>
        </is>
      </c>
    </row>
    <row r="3">
      <c r="A3" s="10" t="inlineStr">
        <is>
          <t>copper_conductor</t>
        </is>
      </c>
      <c r="B3" s="10" t="inlineStr">
        <is>
          <t>Copper conductor (annealed)</t>
        </is>
      </c>
      <c r="C3" s="10" t="n">
        <v>8.890000000000001</v>
      </c>
      <c r="D3" s="10" t="n">
        <v>8.890000000000001</v>
      </c>
      <c r="E3" s="10" t="inlineStr">
        <is>
          <t>g/cm3</t>
        </is>
      </c>
    </row>
    <row r="4">
      <c r="A4" s="8" t="inlineStr">
        <is>
          <t>aluminium_conductor</t>
        </is>
      </c>
      <c r="B4" s="8" t="inlineStr">
        <is>
          <t>Aluminium conductor (1350)</t>
        </is>
      </c>
      <c r="C4" s="8" t="n">
        <v>2.703</v>
      </c>
      <c r="D4" s="8" t="n">
        <v>2.703</v>
      </c>
      <c r="E4" s="8" t="inlineStr">
        <is>
          <t>g/cm3</t>
        </is>
      </c>
    </row>
    <row r="5">
      <c r="A5" s="10" t="inlineStr">
        <is>
          <t>xlpe_insulation</t>
        </is>
      </c>
      <c r="B5" s="10" t="inlineStr">
        <is>
          <t>XLPE insulation compound</t>
        </is>
      </c>
      <c r="C5" s="10" t="n">
        <v>0.92</v>
      </c>
      <c r="D5" s="10" t="n">
        <v>0.92</v>
      </c>
      <c r="E5" s="10" t="inlineStr">
        <is>
          <t>g/cm3</t>
        </is>
      </c>
    </row>
    <row r="6">
      <c r="A6" s="8" t="inlineStr">
        <is>
          <t>pvc_insulation</t>
        </is>
      </c>
      <c r="B6" s="8" t="inlineStr">
        <is>
          <t>PVC insulation (control/flex)</t>
        </is>
      </c>
      <c r="C6" s="8" t="n">
        <v>1.4</v>
      </c>
      <c r="D6" s="8" t="n">
        <v>1.4</v>
      </c>
      <c r="E6" s="8" t="inlineStr">
        <is>
          <t>g/cm3</t>
        </is>
      </c>
    </row>
    <row r="7">
      <c r="A7" s="10" t="inlineStr">
        <is>
          <t>semicon_screen</t>
        </is>
      </c>
      <c r="B7" s="10" t="inlineStr">
        <is>
          <t>Semiconducting XLPE (screen)</t>
        </is>
      </c>
      <c r="C7" s="10" t="n">
        <v>1.2</v>
      </c>
      <c r="D7" s="10" t="n">
        <v>1.2</v>
      </c>
      <c r="E7" s="10" t="inlineStr">
        <is>
          <t>g/cm3</t>
        </is>
      </c>
    </row>
    <row r="8">
      <c r="A8" s="8" t="inlineStr">
        <is>
          <t>pvc_flexible</t>
        </is>
      </c>
      <c r="B8" s="8" t="inlineStr">
        <is>
          <t>PVC flexible compound</t>
        </is>
      </c>
      <c r="C8" s="8" t="n">
        <v>1.5</v>
      </c>
      <c r="D8" s="8" t="n">
        <v>1.5</v>
      </c>
      <c r="E8" s="8" t="inlineStr">
        <is>
          <t>g/cm3</t>
        </is>
      </c>
    </row>
    <row r="9">
      <c r="A9" s="10" t="inlineStr">
        <is>
          <t>pvc_armoured_sheath</t>
        </is>
      </c>
      <c r="B9" s="10" t="inlineStr">
        <is>
          <t>PVC armoured sheath</t>
        </is>
      </c>
      <c r="C9" s="10" t="n">
        <v>1.6</v>
      </c>
      <c r="D9" s="10" t="n">
        <v>1.6</v>
      </c>
      <c r="E9" s="10" t="inlineStr">
        <is>
          <t>g/cm3</t>
        </is>
      </c>
    </row>
    <row r="10">
      <c r="A10" s="8" t="inlineStr">
        <is>
          <t>pvc_outer_sheath</t>
        </is>
      </c>
      <c r="B10" s="8" t="inlineStr">
        <is>
          <t>PVC outer sheath</t>
        </is>
      </c>
      <c r="C10" s="8" t="n">
        <v>1.6</v>
      </c>
      <c r="D10" s="8" t="n">
        <v>1.6</v>
      </c>
      <c r="E10" s="8" t="inlineStr">
        <is>
          <t>g/cm3</t>
        </is>
      </c>
    </row>
    <row r="11">
      <c r="A11" s="10" t="inlineStr">
        <is>
          <t>pvc_inner_sheath</t>
        </is>
      </c>
      <c r="B11" s="10" t="inlineStr">
        <is>
          <t>PVC inner sheath</t>
        </is>
      </c>
      <c r="C11" s="10" t="n">
        <v>1.6</v>
      </c>
      <c r="D11" s="10" t="n">
        <v>1.6</v>
      </c>
      <c r="E11" s="10" t="inlineStr">
        <is>
          <t>g/cm3</t>
        </is>
      </c>
    </row>
    <row r="12">
      <c r="A12" s="8" t="inlineStr">
        <is>
          <t>hffr_sheath</t>
        </is>
      </c>
      <c r="B12" s="8" t="inlineStr"/>
      <c r="C12" s="8" t="n">
        <v>1.5</v>
      </c>
      <c r="D12" s="8" t="n">
        <v>1.5</v>
      </c>
      <c r="E12" s="8" t="inlineStr">
        <is>
          <t>g/cm3</t>
        </is>
      </c>
    </row>
    <row r="13">
      <c r="A13" s="10" t="inlineStr">
        <is>
          <t>lszh_sheath</t>
        </is>
      </c>
      <c r="B13" s="10" t="inlineStr"/>
      <c r="C13" s="10" t="n">
        <v>1.5</v>
      </c>
      <c r="D13" s="10" t="n">
        <v>1.5</v>
      </c>
      <c r="E13" s="10" t="inlineStr">
        <is>
          <t>g/cm3</t>
        </is>
      </c>
    </row>
    <row r="14">
      <c r="A14" s="8" t="inlineStr">
        <is>
          <t>lszh_outer_sheath</t>
        </is>
      </c>
      <c r="B14" s="8" t="inlineStr"/>
      <c r="C14" s="8" t="n">
        <v>1.5</v>
      </c>
      <c r="D14" s="8" t="n">
        <v>1.5</v>
      </c>
      <c r="E14" s="8" t="inlineStr">
        <is>
          <t>g/cm3</t>
        </is>
      </c>
    </row>
    <row r="15">
      <c r="A15" s="10" t="inlineStr">
        <is>
          <t>lszh_inner_sheath</t>
        </is>
      </c>
      <c r="B15" s="10" t="inlineStr"/>
      <c r="C15" s="10" t="n">
        <v>1.5</v>
      </c>
      <c r="D15" s="10" t="n">
        <v>1.5</v>
      </c>
      <c r="E15" s="10" t="inlineStr">
        <is>
          <t>g/cm3</t>
        </is>
      </c>
    </row>
    <row r="16">
      <c r="A16" s="8" t="inlineStr">
        <is>
          <t>frlsh_sheath</t>
        </is>
      </c>
      <c r="B16" s="8" t="inlineStr">
        <is>
          <t>FR-LSH compound sheath</t>
        </is>
      </c>
      <c r="C16" s="8" t="n">
        <v>1.5</v>
      </c>
      <c r="D16" s="8" t="n">
        <v>1.5</v>
      </c>
      <c r="E16" s="8" t="inlineStr">
        <is>
          <t>g/cm3</t>
        </is>
      </c>
    </row>
    <row r="17">
      <c r="A17" s="10" t="inlineStr">
        <is>
          <t>gs_flat_strip_armour</t>
        </is>
      </c>
      <c r="B17" s="10" t="inlineStr">
        <is>
          <t>GS flat strip armour (7.85)</t>
        </is>
      </c>
      <c r="C17" s="10" t="n">
        <v>7.85</v>
      </c>
      <c r="D17" s="10" t="n">
        <v>7.85</v>
      </c>
      <c r="E17" s="10" t="inlineStr">
        <is>
          <t>g/cm3</t>
        </is>
      </c>
    </row>
    <row r="18">
      <c r="A18" s="8" t="inlineStr">
        <is>
          <t>gs_round_wire_armour</t>
        </is>
      </c>
      <c r="B18" s="8" t="inlineStr">
        <is>
          <t>GS round wire armour (SWA/AWA)</t>
        </is>
      </c>
      <c r="C18" s="8" t="n">
        <v>7.85</v>
      </c>
      <c r="D18" s="8" t="n">
        <v>7.85</v>
      </c>
      <c r="E18" s="8" t="inlineStr">
        <is>
          <t>g/cm3</t>
        </is>
      </c>
    </row>
    <row r="19">
      <c r="A19" s="10" t="inlineStr">
        <is>
          <t>copper_tape_screen</t>
        </is>
      </c>
      <c r="B19" s="10" t="inlineStr">
        <is>
          <t>Copper tape screen</t>
        </is>
      </c>
      <c r="C19" s="10" t="n">
        <v>8.890000000000001</v>
      </c>
      <c r="D19" s="10" t="n">
        <v>8.890000000000001</v>
      </c>
      <c r="E19" s="10" t="inlineStr">
        <is>
          <t>g/cm3</t>
        </is>
      </c>
    </row>
    <row r="20">
      <c r="A20" s="8" t="inlineStr">
        <is>
          <t>copper_wire_screen</t>
        </is>
      </c>
      <c r="B20" s="8" t="inlineStr">
        <is>
          <t>Copper wire concentric screen</t>
        </is>
      </c>
      <c r="C20" s="8" t="n">
        <v>8.890000000000001</v>
      </c>
      <c r="D20" s="8" t="n">
        <v>8.890000000000001</v>
      </c>
      <c r="E20" s="8" t="inlineStr">
        <is>
          <t>g/cm3</t>
        </is>
      </c>
    </row>
    <row r="21">
      <c r="A21" s="10" t="inlineStr">
        <is>
          <t>filler_compound</t>
        </is>
      </c>
      <c r="B21" s="10" t="inlineStr">
        <is>
          <t>Filler compound / bedding</t>
        </is>
      </c>
      <c r="C21" s="10" t="n">
        <v>1.4</v>
      </c>
      <c r="D21" s="10" t="n">
        <v>1.4</v>
      </c>
      <c r="E21" s="10" t="inlineStr">
        <is>
          <t>g/cm3</t>
        </is>
      </c>
    </row>
    <row r="22">
      <c r="A22" s="8" t="inlineStr">
        <is>
          <t>binder_tape</t>
        </is>
      </c>
      <c r="B22" s="8" t="inlineStr">
        <is>
          <t>Binder tape</t>
        </is>
      </c>
      <c r="C22" s="8" t="n">
        <v>1.35</v>
      </c>
      <c r="D22" s="8" t="n">
        <v>1.35</v>
      </c>
      <c r="E22" s="8" t="inlineStr">
        <is>
          <t>g/cm3</t>
        </is>
      </c>
    </row>
    <row r="23">
      <c r="A23" s="10" t="inlineStr">
        <is>
          <t>binding_tape_pp</t>
        </is>
      </c>
      <c r="B23" s="10" t="inlineStr">
        <is>
          <t>Binding tape (PP/polyester)</t>
        </is>
      </c>
      <c r="C23" s="10" t="n">
        <v>0.91</v>
      </c>
      <c r="D23" s="10" t="n">
        <v>0.91</v>
      </c>
      <c r="E23" s="10" t="inlineStr">
        <is>
          <t>g/cm3</t>
        </is>
      </c>
    </row>
    <row r="24">
      <c r="A24" s="8" t="inlineStr">
        <is>
          <t>petp_tape</t>
        </is>
      </c>
      <c r="B24" s="8" t="inlineStr">
        <is>
          <t>PETP/Al foil tape (individual screen)</t>
        </is>
      </c>
      <c r="C24" s="8" t="n">
        <v>1.39</v>
      </c>
      <c r="D24" s="8" t="n">
        <v>1.39</v>
      </c>
      <c r="E24" s="8" t="inlineStr">
        <is>
          <t>g/cm3</t>
        </is>
      </c>
    </row>
    <row r="25">
      <c r="A25" s="10" t="inlineStr">
        <is>
          <t>pp_filler</t>
        </is>
      </c>
      <c r="B25" s="10" t="inlineStr">
        <is>
          <t>PP rope filler</t>
        </is>
      </c>
      <c r="C25" s="10" t="n">
        <v>0.91</v>
      </c>
      <c r="D25" s="10" t="n">
        <v>0.91</v>
      </c>
      <c r="E25" s="10" t="inlineStr">
        <is>
          <t>g/cm3</t>
        </is>
      </c>
    </row>
    <row r="26">
      <c r="A26" s="8" t="inlineStr">
        <is>
          <t>pvc_filler</t>
        </is>
      </c>
      <c r="B26" s="8" t="inlineStr"/>
      <c r="C26" s="8" t="n">
        <v>1.7</v>
      </c>
      <c r="D26" s="8" t="n">
        <v>1.7</v>
      </c>
      <c r="E26" s="8" t="inlineStr">
        <is>
          <t>g/cm3</t>
        </is>
      </c>
    </row>
    <row r="27">
      <c r="A27" s="10" t="inlineStr">
        <is>
          <t>rubber_epdm</t>
        </is>
      </c>
      <c r="B27" s="10" t="inlineStr">
        <is>
          <t>EPDM/EPR rubber insulation</t>
        </is>
      </c>
      <c r="C27" s="10" t="n">
        <v>1.35</v>
      </c>
      <c r="D27" s="10" t="n">
        <v>1.35</v>
      </c>
      <c r="E27" s="10" t="inlineStr">
        <is>
          <t>g/cm3</t>
        </is>
      </c>
    </row>
    <row r="28">
      <c r="A28" s="8" t="inlineStr">
        <is>
          <t>swelling_tape</t>
        </is>
      </c>
      <c r="B28" s="8" t="inlineStr">
        <is>
          <t>Swelling/water-blocking tape</t>
        </is>
      </c>
      <c r="C28" s="8" t="n">
        <v>1</v>
      </c>
      <c r="D28" s="8" t="n">
        <v>1</v>
      </c>
      <c r="E28" s="8" t="inlineStr">
        <is>
          <t>g/cm3</t>
        </is>
      </c>
    </row>
    <row r="29">
      <c r="A29" s="10" t="inlineStr">
        <is>
          <t>glass_mica_tape</t>
        </is>
      </c>
      <c r="B29" s="10" t="inlineStr"/>
      <c r="C29" s="10" t="n">
        <v>1.5</v>
      </c>
      <c r="D29" s="10" t="n">
        <v>1.5</v>
      </c>
      <c r="E29" s="10" t="inlineStr">
        <is>
          <t>g/cm3</t>
        </is>
      </c>
    </row>
    <row r="30">
      <c r="A30" s="8" t="inlineStr">
        <is>
          <t>pe_tape</t>
        </is>
      </c>
      <c r="B30" s="8" t="inlineStr"/>
      <c r="C30" s="8" t="n">
        <v>1.5</v>
      </c>
      <c r="D30" s="8" t="n">
        <v>1.5</v>
      </c>
      <c r="E30" s="8" t="inlineStr">
        <is>
          <t>g/cm3</t>
        </is>
      </c>
    </row>
    <row r="31">
      <c r="A31" s="10" t="inlineStr">
        <is>
          <t>al_mylar_pe_tape</t>
        </is>
      </c>
      <c r="B31" s="10" t="inlineStr"/>
      <c r="C31" s="10" t="n">
        <v>1.5</v>
      </c>
      <c r="D31" s="10" t="n">
        <v>1.5</v>
      </c>
      <c r="E31" s="10" t="inlineStr">
        <is>
          <t>g/cm3</t>
        </is>
      </c>
    </row>
    <row r="34">
      <c r="A34" s="12" t="inlineStr">
        <is>
          <t>Resistivity Constants</t>
        </is>
      </c>
    </row>
    <row r="35">
      <c r="A35" s="13" t="inlineStr">
        <is>
          <t>material</t>
        </is>
      </c>
      <c r="B35" s="13" t="inlineStr">
        <is>
          <t>resistivity_ohm_mm2_per_m</t>
        </is>
      </c>
      <c r="C35" s="13" t="inlineStr">
        <is>
          <t>formula</t>
        </is>
      </c>
      <c r="D35" s="13" t="inlineStr">
        <is>
          <t>note</t>
        </is>
      </c>
    </row>
    <row r="36">
      <c r="A36" s="10" t="inlineStr">
        <is>
          <t>Copper</t>
        </is>
      </c>
      <c r="B36" s="10" t="n">
        <v>0.017241</v>
      </c>
      <c r="C36" s="10" t="inlineStr">
        <is>
          <t>1/58</t>
        </is>
      </c>
      <c r="D36" s="10" t="inlineStr">
        <is>
          <t>IEC 60228, 20°C</t>
        </is>
      </c>
    </row>
    <row r="37">
      <c r="A37" s="10" t="inlineStr">
        <is>
          <t>Aluminium</t>
        </is>
      </c>
      <c r="B37" s="10" t="n">
        <v>0.028571</v>
      </c>
      <c r="C37" s="10" t="inlineStr">
        <is>
          <t>1/35</t>
        </is>
      </c>
      <c r="D37" s="10" t="inlineStr">
        <is>
          <t>IEC 60228, 20°C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18" customWidth="1" min="5" max="5"/>
  </cols>
  <sheetData>
    <row r="1">
      <c r="A1" s="12" t="inlineStr">
        <is>
          <t>Conductor Lay Factors (Standard Class 2)</t>
        </is>
      </c>
    </row>
    <row r="2">
      <c r="A2" s="7" t="inlineStr">
        <is>
          <t>category</t>
        </is>
      </c>
      <c r="B2" s="7" t="inlineStr">
        <is>
          <t>min_wires</t>
        </is>
      </c>
      <c r="C2" s="7" t="inlineStr">
        <is>
          <t>max_wires</t>
        </is>
      </c>
      <c r="D2" s="7" t="inlineStr">
        <is>
          <t>costing_value</t>
        </is>
      </c>
      <c r="E2" s="7" t="inlineStr">
        <is>
          <t>production_value</t>
        </is>
      </c>
    </row>
    <row r="3">
      <c r="A3" s="10" t="inlineStr">
        <is>
          <t>conductor</t>
        </is>
      </c>
      <c r="B3" s="10" t="n">
        <v>1</v>
      </c>
      <c r="C3" s="10" t="n">
        <v>7</v>
      </c>
      <c r="D3" s="10" t="n">
        <v>1.005</v>
      </c>
      <c r="E3" s="10" t="n">
        <v>1.005</v>
      </c>
    </row>
    <row r="4">
      <c r="A4" s="10" t="inlineStr">
        <is>
          <t>conductor</t>
        </is>
      </c>
      <c r="B4" s="10" t="n">
        <v>8</v>
      </c>
      <c r="C4" s="10" t="n">
        <v>19</v>
      </c>
      <c r="D4" s="10" t="n">
        <v>1.01</v>
      </c>
      <c r="E4" s="10" t="n">
        <v>1.01</v>
      </c>
    </row>
    <row r="5">
      <c r="A5" s="10" t="inlineStr">
        <is>
          <t>conductor</t>
        </is>
      </c>
      <c r="B5" s="10" t="n">
        <v>20</v>
      </c>
      <c r="C5" s="10" t="n">
        <v>37</v>
      </c>
      <c r="D5" s="10" t="n">
        <v>1.02</v>
      </c>
      <c r="E5" s="10" t="n">
        <v>1.02</v>
      </c>
    </row>
    <row r="6">
      <c r="A6" s="10" t="inlineStr">
        <is>
          <t>conductor</t>
        </is>
      </c>
      <c r="B6" s="10" t="n">
        <v>38</v>
      </c>
      <c r="C6" s="10" t="n">
        <v>999</v>
      </c>
      <c r="D6" s="10" t="n">
        <v>1.025</v>
      </c>
      <c r="E6" s="10" t="n">
        <v>1.025</v>
      </c>
    </row>
    <row r="8">
      <c r="A8" s="12" t="inlineStr">
        <is>
          <t>Fine Wire Conductor Lay Factors (Class 5/6 Flexible)</t>
        </is>
      </c>
    </row>
    <row r="9">
      <c r="A9" s="7" t="inlineStr">
        <is>
          <t>category</t>
        </is>
      </c>
      <c r="B9" s="7" t="inlineStr">
        <is>
          <t>min_wires</t>
        </is>
      </c>
      <c r="C9" s="7" t="inlineStr">
        <is>
          <t>max_wires</t>
        </is>
      </c>
      <c r="D9" s="7" t="inlineStr">
        <is>
          <t>costing_value</t>
        </is>
      </c>
      <c r="E9" s="7" t="inlineStr">
        <is>
          <t>production_value</t>
        </is>
      </c>
    </row>
    <row r="10">
      <c r="A10" s="10" t="inlineStr">
        <is>
          <t>fine_wire_conductor</t>
        </is>
      </c>
      <c r="B10" s="10" t="n">
        <v>50</v>
      </c>
      <c r="C10" s="10" t="n">
        <v>130</v>
      </c>
      <c r="D10" s="10" t="n">
        <v>1.03</v>
      </c>
      <c r="E10" s="10" t="n">
        <v>1.025</v>
      </c>
    </row>
    <row r="11">
      <c r="A11" s="10" t="inlineStr">
        <is>
          <t>fine_wire_conductor</t>
        </is>
      </c>
      <c r="B11" s="10" t="n">
        <v>131</v>
      </c>
      <c r="C11" s="10" t="n">
        <v>999</v>
      </c>
      <c r="D11" s="10" t="n">
        <v>1.04</v>
      </c>
      <c r="E11" s="10" t="n">
        <v>1.035</v>
      </c>
    </row>
    <row r="13">
      <c r="A13" s="12" t="inlineStr">
        <is>
          <t>Cabling / Armour Lay Factors</t>
        </is>
      </c>
    </row>
    <row r="14">
      <c r="A14" s="7" t="inlineStr">
        <is>
          <t>category</t>
        </is>
      </c>
      <c r="B14" s="7" t="inlineStr">
        <is>
          <t>costing_value</t>
        </is>
      </c>
      <c r="C14" s="7" t="inlineStr">
        <is>
          <t>production_value</t>
        </is>
      </c>
    </row>
    <row r="15">
      <c r="A15" s="10" t="inlineStr">
        <is>
          <t>cabling</t>
        </is>
      </c>
      <c r="B15" s="10" t="n">
        <v>1.008</v>
      </c>
      <c r="C15" s="10" t="n">
        <v>1.007</v>
      </c>
    </row>
    <row r="16">
      <c r="A16" s="10" t="inlineStr">
        <is>
          <t>armour</t>
        </is>
      </c>
      <c r="B16" s="10" t="n">
        <v>1.008</v>
      </c>
      <c r="C16" s="10" t="n">
        <v>1.007</v>
      </c>
    </row>
    <row r="17">
      <c r="A17" s="10" t="inlineStr">
        <is>
          <t>round_wire_armour</t>
        </is>
      </c>
      <c r="B17" s="10" t="n">
        <v>1.008</v>
      </c>
      <c r="C17" s="10" t="n">
        <v>1.007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8" customWidth="1" min="6" max="6"/>
    <col width="40" customWidth="1" min="7" max="7"/>
  </cols>
  <sheetData>
    <row r="1">
      <c r="A1" s="7" t="inlineStr">
        <is>
          <t>thickness_type</t>
        </is>
      </c>
      <c r="B1" s="7" t="inlineStr">
        <is>
          <t>band</t>
        </is>
      </c>
      <c r="C1" s="7" t="inlineStr">
        <is>
          <t>min_mm</t>
        </is>
      </c>
      <c r="D1" s="7" t="inlineStr">
        <is>
          <t>max_mm</t>
        </is>
      </c>
      <c r="E1" s="7" t="inlineStr">
        <is>
          <t>costing_factor</t>
        </is>
      </c>
      <c r="F1" s="7" t="inlineStr">
        <is>
          <t>production_factor</t>
        </is>
      </c>
      <c r="G1" s="7" t="inlineStr">
        <is>
          <t>notes</t>
        </is>
      </c>
    </row>
    <row r="2">
      <c r="A2" s="10" t="inlineStr">
        <is>
          <t>Nominal</t>
        </is>
      </c>
      <c r="B2" s="10" t="inlineStr">
        <is>
          <t>thin</t>
        </is>
      </c>
      <c r="C2" s="10" t="n">
        <v>0</v>
      </c>
      <c r="D2" s="10" t="n">
        <v>1</v>
      </c>
      <c r="E2" s="10" t="n">
        <v>1.1</v>
      </c>
      <c r="F2" s="10" t="n">
        <v>1</v>
      </c>
      <c r="G2" s="10" t="inlineStr">
        <is>
          <t>e.g. semicon screen, thin tape</t>
        </is>
      </c>
    </row>
    <row r="3">
      <c r="A3" s="8" t="inlineStr">
        <is>
          <t>Nominal</t>
        </is>
      </c>
      <c r="B3" s="8" t="inlineStr">
        <is>
          <t>medium</t>
        </is>
      </c>
      <c r="C3" s="8" t="n">
        <v>1</v>
      </c>
      <c r="D3" s="8" t="n">
        <v>2</v>
      </c>
      <c r="E3" s="8" t="n">
        <v>1.08</v>
      </c>
      <c r="F3" s="8" t="n">
        <v>1</v>
      </c>
      <c r="G3" s="8" t="inlineStr">
        <is>
          <t>e.g. thin insulation</t>
        </is>
      </c>
    </row>
    <row r="4">
      <c r="A4" s="10" t="inlineStr">
        <is>
          <t>Nominal</t>
        </is>
      </c>
      <c r="B4" s="10" t="inlineStr">
        <is>
          <t>thick</t>
        </is>
      </c>
      <c r="C4" s="10" t="n">
        <v>2</v>
      </c>
      <c r="D4" s="10" t="n">
        <v>99</v>
      </c>
      <c r="E4" s="10" t="n">
        <v>1.05</v>
      </c>
      <c r="F4" s="10" t="n">
        <v>1</v>
      </c>
      <c r="G4" s="10" t="inlineStr">
        <is>
          <t>e.g. thick insulation, sheaths</t>
        </is>
      </c>
    </row>
    <row r="5">
      <c r="A5" s="8" t="inlineStr">
        <is>
          <t>Minimum</t>
        </is>
      </c>
      <c r="B5" s="8" t="inlineStr">
        <is>
          <t>thin</t>
        </is>
      </c>
      <c r="C5" s="8" t="n">
        <v>0</v>
      </c>
      <c r="D5" s="8" t="n">
        <v>1</v>
      </c>
      <c r="E5" s="8" t="n">
        <v>1.15</v>
      </c>
      <c r="F5" s="8" t="n">
        <v>1.05</v>
      </c>
      <c r="G5" s="8" t="inlineStr">
        <is>
          <t>conservative: thin layers with Minimum spec</t>
        </is>
      </c>
    </row>
    <row r="6">
      <c r="A6" s="10" t="inlineStr">
        <is>
          <t>Minimum</t>
        </is>
      </c>
      <c r="B6" s="10" t="inlineStr">
        <is>
          <t>medium</t>
        </is>
      </c>
      <c r="C6" s="10" t="n">
        <v>1</v>
      </c>
      <c r="D6" s="10" t="n">
        <v>2</v>
      </c>
      <c r="E6" s="10" t="n">
        <v>1.12</v>
      </c>
      <c r="F6" s="10" t="n">
        <v>1.05</v>
      </c>
      <c r="G6" s="10" t="inlineStr">
        <is>
          <t>e.g. IS 7098 insulation Minimum thickness</t>
        </is>
      </c>
    </row>
    <row r="7">
      <c r="A7" s="8" t="inlineStr">
        <is>
          <t>Minimum</t>
        </is>
      </c>
      <c r="B7" s="8" t="inlineStr">
        <is>
          <t>thick</t>
        </is>
      </c>
      <c r="C7" s="8" t="n">
        <v>2</v>
      </c>
      <c r="D7" s="8" t="n">
        <v>99</v>
      </c>
      <c r="E7" s="8" t="n">
        <v>1.08</v>
      </c>
      <c r="F7" s="8" t="n">
        <v>1.05</v>
      </c>
      <c r="G7" s="8" t="inlineStr">
        <is>
          <t>e.g. thick sheaths with Minimum spec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8" customWidth="1" min="4" max="4"/>
    <col width="14" customWidth="1" min="5" max="5"/>
    <col width="20" customWidth="1" min="6" max="6"/>
  </cols>
  <sheetData>
    <row r="1">
      <c r="A1" s="7" t="inlineStr">
        <is>
          <t>material_code</t>
        </is>
      </c>
      <c r="B1" s="7" t="inlineStr">
        <is>
          <t>description</t>
        </is>
      </c>
      <c r="C1" s="7" t="inlineStr">
        <is>
          <t>rm_price_per_kg</t>
        </is>
      </c>
      <c r="D1" s="7" t="inlineStr">
        <is>
          <t>unit</t>
        </is>
      </c>
      <c r="E1" s="7" t="inlineStr">
        <is>
          <t>last_updated</t>
        </is>
      </c>
      <c r="F1" s="7" t="inlineStr">
        <is>
          <t>source</t>
        </is>
      </c>
    </row>
    <row r="2">
      <c r="A2" s="10" t="inlineStr">
        <is>
          <t>copper_conductor</t>
        </is>
      </c>
      <c r="B2" s="10" t="inlineStr">
        <is>
          <t>Copper conductor (ETP grade)</t>
        </is>
      </c>
      <c r="C2" s="10" t="inlineStr">
        <is>
          <t>0.00</t>
        </is>
      </c>
      <c r="D2" s="10" t="inlineStr">
        <is>
          <t>₹/kg</t>
        </is>
      </c>
      <c r="E2" s="10" t="inlineStr">
        <is>
          <t>2026-05-13</t>
        </is>
      </c>
      <c r="F2" s="10" t="inlineStr">
        <is>
          <t>MCX / supplier</t>
        </is>
      </c>
    </row>
    <row r="3">
      <c r="A3" s="8" t="inlineStr">
        <is>
          <t>aluminium_conductor</t>
        </is>
      </c>
      <c r="B3" s="8" t="inlineStr">
        <is>
          <t>Aluminium conductor (EC grade)</t>
        </is>
      </c>
      <c r="C3" s="8" t="inlineStr">
        <is>
          <t>0.00</t>
        </is>
      </c>
      <c r="D3" s="8" t="inlineStr">
        <is>
          <t>₹/kg</t>
        </is>
      </c>
      <c r="E3" s="8" t="inlineStr">
        <is>
          <t>2026-05-13</t>
        </is>
      </c>
      <c r="F3" s="8" t="inlineStr">
        <is>
          <t>LME / supplier</t>
        </is>
      </c>
    </row>
    <row r="4">
      <c r="A4" s="10" t="inlineStr">
        <is>
          <t>xlpe_insulation</t>
        </is>
      </c>
      <c r="B4" s="10" t="inlineStr">
        <is>
          <t>XLPE insulation compound</t>
        </is>
      </c>
      <c r="C4" s="10" t="inlineStr">
        <is>
          <t>0.00</t>
        </is>
      </c>
      <c r="D4" s="10" t="inlineStr">
        <is>
          <t>₹/kg</t>
        </is>
      </c>
      <c r="E4" s="10" t="inlineStr">
        <is>
          <t>2026-05-13</t>
        </is>
      </c>
      <c r="F4" s="10" t="inlineStr">
        <is>
          <t>Dow/BASF</t>
        </is>
      </c>
    </row>
    <row r="5">
      <c r="A5" s="8" t="inlineStr">
        <is>
          <t>pvc_insulation</t>
        </is>
      </c>
      <c r="B5" s="8" t="inlineStr">
        <is>
          <t>PVC insulation compound</t>
        </is>
      </c>
      <c r="C5" s="8" t="inlineStr">
        <is>
          <t>0.00</t>
        </is>
      </c>
      <c r="D5" s="8" t="inlineStr">
        <is>
          <t>₹/kg</t>
        </is>
      </c>
      <c r="E5" s="8" t="inlineStr">
        <is>
          <t>2026-05-13</t>
        </is>
      </c>
      <c r="F5" s="8" t="inlineStr">
        <is>
          <t>Supplier</t>
        </is>
      </c>
    </row>
    <row r="6">
      <c r="A6" s="10" t="inlineStr">
        <is>
          <t>semicon_screen</t>
        </is>
      </c>
      <c r="B6" s="10" t="inlineStr">
        <is>
          <t>Semiconducting XLPE compound</t>
        </is>
      </c>
      <c r="C6" s="10" t="inlineStr">
        <is>
          <t>0.00</t>
        </is>
      </c>
      <c r="D6" s="10" t="inlineStr">
        <is>
          <t>₹/kg</t>
        </is>
      </c>
      <c r="E6" s="10" t="inlineStr">
        <is>
          <t>2026-05-13</t>
        </is>
      </c>
      <c r="F6" s="10" t="inlineStr">
        <is>
          <t>Supplier</t>
        </is>
      </c>
    </row>
    <row r="7">
      <c r="A7" s="8" t="inlineStr">
        <is>
          <t>glass_mica_tape</t>
        </is>
      </c>
      <c r="B7" s="8" t="inlineStr">
        <is>
          <t>Glass mica fire barrier tape</t>
        </is>
      </c>
      <c r="C7" s="8" t="inlineStr">
        <is>
          <t>0.00</t>
        </is>
      </c>
      <c r="D7" s="8" t="inlineStr">
        <is>
          <t>₹/kg</t>
        </is>
      </c>
      <c r="E7" s="8" t="inlineStr">
        <is>
          <t>2026-05-13</t>
        </is>
      </c>
      <c r="F7" s="8" t="inlineStr">
        <is>
          <t>Supplier</t>
        </is>
      </c>
    </row>
    <row r="8">
      <c r="A8" s="10" t="inlineStr">
        <is>
          <t>pvc_flexible</t>
        </is>
      </c>
      <c r="B8" s="10" t="inlineStr">
        <is>
          <t>PVC flexible compound</t>
        </is>
      </c>
      <c r="C8" s="10" t="inlineStr">
        <is>
          <t>0.00</t>
        </is>
      </c>
      <c r="D8" s="10" t="inlineStr">
        <is>
          <t>₹/kg</t>
        </is>
      </c>
      <c r="E8" s="10" t="inlineStr">
        <is>
          <t>2026-05-13</t>
        </is>
      </c>
      <c r="F8" s="10" t="inlineStr">
        <is>
          <t>Supplier</t>
        </is>
      </c>
    </row>
    <row r="9">
      <c r="A9" s="8" t="inlineStr">
        <is>
          <t>pvc_armoured_sheath</t>
        </is>
      </c>
      <c r="B9" s="8" t="inlineStr">
        <is>
          <t>PVC armoured/bedding compound</t>
        </is>
      </c>
      <c r="C9" s="8" t="inlineStr">
        <is>
          <t>0.00</t>
        </is>
      </c>
      <c r="D9" s="8" t="inlineStr">
        <is>
          <t>₹/kg</t>
        </is>
      </c>
      <c r="E9" s="8" t="inlineStr">
        <is>
          <t>2026-05-13</t>
        </is>
      </c>
      <c r="F9" s="8" t="inlineStr">
        <is>
          <t>Supplier</t>
        </is>
      </c>
    </row>
    <row r="10">
      <c r="A10" s="10" t="inlineStr">
        <is>
          <t>pvc_outer_sheath</t>
        </is>
      </c>
      <c r="B10" s="10" t="inlineStr">
        <is>
          <t>PVC outer sheath compound</t>
        </is>
      </c>
      <c r="C10" s="10" t="inlineStr">
        <is>
          <t>0.00</t>
        </is>
      </c>
      <c r="D10" s="10" t="inlineStr">
        <is>
          <t>₹/kg</t>
        </is>
      </c>
      <c r="E10" s="10" t="inlineStr">
        <is>
          <t>2026-05-13</t>
        </is>
      </c>
      <c r="F10" s="10" t="inlineStr">
        <is>
          <t>Supplier</t>
        </is>
      </c>
    </row>
    <row r="11">
      <c r="A11" s="8" t="inlineStr">
        <is>
          <t>pvc_inner_sheath</t>
        </is>
      </c>
      <c r="B11" s="8" t="inlineStr">
        <is>
          <t>PVC inner sheath compound</t>
        </is>
      </c>
      <c r="C11" s="8" t="inlineStr">
        <is>
          <t>0.00</t>
        </is>
      </c>
      <c r="D11" s="8" t="inlineStr">
        <is>
          <t>₹/kg</t>
        </is>
      </c>
      <c r="E11" s="8" t="inlineStr">
        <is>
          <t>2026-05-13</t>
        </is>
      </c>
      <c r="F11" s="8" t="inlineStr">
        <is>
          <t>Supplier</t>
        </is>
      </c>
    </row>
    <row r="12">
      <c r="A12" s="10" t="inlineStr">
        <is>
          <t>lszh_outer_sheath</t>
        </is>
      </c>
      <c r="B12" s="10" t="inlineStr">
        <is>
          <t>LSZH outer sheath compound</t>
        </is>
      </c>
      <c r="C12" s="10" t="inlineStr">
        <is>
          <t>0.00</t>
        </is>
      </c>
      <c r="D12" s="10" t="inlineStr">
        <is>
          <t>₹/kg</t>
        </is>
      </c>
      <c r="E12" s="10" t="inlineStr">
        <is>
          <t>2026-05-13</t>
        </is>
      </c>
      <c r="F12" s="10" t="inlineStr">
        <is>
          <t>Supplier</t>
        </is>
      </c>
    </row>
    <row r="13">
      <c r="A13" s="8" t="inlineStr">
        <is>
          <t>lszh_inner_sheath</t>
        </is>
      </c>
      <c r="B13" s="8" t="inlineStr">
        <is>
          <t>LSZH inner sheath compound</t>
        </is>
      </c>
      <c r="C13" s="8" t="inlineStr">
        <is>
          <t>0.00</t>
        </is>
      </c>
      <c r="D13" s="8" t="inlineStr">
        <is>
          <t>₹/kg</t>
        </is>
      </c>
      <c r="E13" s="8" t="inlineStr">
        <is>
          <t>2026-05-13</t>
        </is>
      </c>
      <c r="F13" s="8" t="inlineStr">
        <is>
          <t>Supplier</t>
        </is>
      </c>
    </row>
    <row r="14">
      <c r="A14" s="10" t="inlineStr">
        <is>
          <t>frlsh_sheath</t>
        </is>
      </c>
      <c r="B14" s="10" t="inlineStr">
        <is>
          <t>FR-LSH compound</t>
        </is>
      </c>
      <c r="C14" s="10" t="inlineStr">
        <is>
          <t>0.00</t>
        </is>
      </c>
      <c r="D14" s="10" t="inlineStr">
        <is>
          <t>₹/kg</t>
        </is>
      </c>
      <c r="E14" s="10" t="inlineStr">
        <is>
          <t>2026-05-13</t>
        </is>
      </c>
      <c r="F14" s="10" t="inlineStr">
        <is>
          <t>Supplier</t>
        </is>
      </c>
    </row>
    <row r="15">
      <c r="A15" s="8" t="inlineStr">
        <is>
          <t>hffr_sheath</t>
        </is>
      </c>
      <c r="B15" s="8" t="inlineStr">
        <is>
          <t>HFFR compound</t>
        </is>
      </c>
      <c r="C15" s="8" t="inlineStr">
        <is>
          <t>0.00</t>
        </is>
      </c>
      <c r="D15" s="8" t="inlineStr">
        <is>
          <t>₹/kg</t>
        </is>
      </c>
      <c r="E15" s="8" t="inlineStr">
        <is>
          <t>2026-05-13</t>
        </is>
      </c>
      <c r="F15" s="8" t="inlineStr">
        <is>
          <t>Supplier</t>
        </is>
      </c>
    </row>
    <row r="16">
      <c r="A16" s="10" t="inlineStr">
        <is>
          <t>lszh_sheath</t>
        </is>
      </c>
      <c r="B16" s="10" t="inlineStr">
        <is>
          <t>LSZH general compound</t>
        </is>
      </c>
      <c r="C16" s="10" t="inlineStr">
        <is>
          <t>0.00</t>
        </is>
      </c>
      <c r="D16" s="10" t="inlineStr">
        <is>
          <t>₹/kg</t>
        </is>
      </c>
      <c r="E16" s="10" t="inlineStr">
        <is>
          <t>2026-05-13</t>
        </is>
      </c>
      <c r="F16" s="10" t="inlineStr">
        <is>
          <t>Supplier</t>
        </is>
      </c>
    </row>
    <row r="17">
      <c r="A17" s="8" t="inlineStr">
        <is>
          <t>gs_flat_strip_armour</t>
        </is>
      </c>
      <c r="B17" s="8" t="inlineStr">
        <is>
          <t>GS flat strip armour (IS 3975)</t>
        </is>
      </c>
      <c r="C17" s="8" t="inlineStr">
        <is>
          <t>0.00</t>
        </is>
      </c>
      <c r="D17" s="8" t="inlineStr">
        <is>
          <t>₹/kg</t>
        </is>
      </c>
      <c r="E17" s="8" t="inlineStr">
        <is>
          <t>2026-05-13</t>
        </is>
      </c>
      <c r="F17" s="8" t="inlineStr">
        <is>
          <t>Steel market</t>
        </is>
      </c>
    </row>
    <row r="18">
      <c r="A18" s="10" t="inlineStr">
        <is>
          <t>gs_round_wire_armour</t>
        </is>
      </c>
      <c r="B18" s="10" t="inlineStr">
        <is>
          <t>GS round wire armour (IS 3975)</t>
        </is>
      </c>
      <c r="C18" s="10" t="inlineStr">
        <is>
          <t>0.00</t>
        </is>
      </c>
      <c r="D18" s="10" t="inlineStr">
        <is>
          <t>₹/kg</t>
        </is>
      </c>
      <c r="E18" s="10" t="inlineStr">
        <is>
          <t>2026-05-13</t>
        </is>
      </c>
      <c r="F18" s="10" t="inlineStr">
        <is>
          <t>Steel market</t>
        </is>
      </c>
    </row>
    <row r="19">
      <c r="A19" s="8" t="inlineStr">
        <is>
          <t>copper_tape_screen</t>
        </is>
      </c>
      <c r="B19" s="8" t="inlineStr">
        <is>
          <t>Copper tape screen (annealed)</t>
        </is>
      </c>
      <c r="C19" s="8" t="inlineStr">
        <is>
          <t>0.00</t>
        </is>
      </c>
      <c r="D19" s="8" t="inlineStr">
        <is>
          <t>₹/kg</t>
        </is>
      </c>
      <c r="E19" s="8" t="inlineStr">
        <is>
          <t>2026-05-13</t>
        </is>
      </c>
      <c r="F19" s="8" t="inlineStr">
        <is>
          <t>MCX / supplier</t>
        </is>
      </c>
    </row>
    <row r="20">
      <c r="A20" s="10" t="inlineStr">
        <is>
          <t>copper_wire_screen</t>
        </is>
      </c>
      <c r="B20" s="10" t="inlineStr">
        <is>
          <t>Copper wire concentric screen</t>
        </is>
      </c>
      <c r="C20" s="10" t="inlineStr">
        <is>
          <t>0.00</t>
        </is>
      </c>
      <c r="D20" s="10" t="inlineStr">
        <is>
          <t>₹/kg</t>
        </is>
      </c>
      <c r="E20" s="10" t="inlineStr">
        <is>
          <t>2026-05-13</t>
        </is>
      </c>
      <c r="F20" s="10" t="inlineStr">
        <is>
          <t>MCX / supplier</t>
        </is>
      </c>
    </row>
    <row r="21">
      <c r="A21" s="8" t="inlineStr">
        <is>
          <t>filler_compound</t>
        </is>
      </c>
      <c r="B21" s="8" t="inlineStr">
        <is>
          <t>Filler/bedding compound</t>
        </is>
      </c>
      <c r="C21" s="8" t="inlineStr">
        <is>
          <t>0.00</t>
        </is>
      </c>
      <c r="D21" s="8" t="inlineStr">
        <is>
          <t>₹/kg</t>
        </is>
      </c>
      <c r="E21" s="8" t="inlineStr">
        <is>
          <t>2026-05-13</t>
        </is>
      </c>
      <c r="F21" s="8" t="inlineStr">
        <is>
          <t>Supplier</t>
        </is>
      </c>
    </row>
    <row r="22">
      <c r="A22" s="10" t="inlineStr">
        <is>
          <t>pp_filler</t>
        </is>
      </c>
      <c r="B22" s="10" t="inlineStr">
        <is>
          <t>PP rope filler</t>
        </is>
      </c>
      <c r="C22" s="10" t="inlineStr">
        <is>
          <t>0.00</t>
        </is>
      </c>
      <c r="D22" s="10" t="inlineStr">
        <is>
          <t>₹/kg</t>
        </is>
      </c>
      <c r="E22" s="10" t="inlineStr">
        <is>
          <t>2026-05-13</t>
        </is>
      </c>
      <c r="F22" s="10" t="inlineStr">
        <is>
          <t>Supplier</t>
        </is>
      </c>
    </row>
    <row r="23">
      <c r="A23" s="8" t="inlineStr">
        <is>
          <t>pvc_filler</t>
        </is>
      </c>
      <c r="B23" s="8" t="inlineStr">
        <is>
          <t>PVC filler compound</t>
        </is>
      </c>
      <c r="C23" s="8" t="inlineStr">
        <is>
          <t>0.00</t>
        </is>
      </c>
      <c r="D23" s="8" t="inlineStr">
        <is>
          <t>₹/kg</t>
        </is>
      </c>
      <c r="E23" s="8" t="inlineStr">
        <is>
          <t>2026-05-13</t>
        </is>
      </c>
      <c r="F23" s="8" t="inlineStr">
        <is>
          <t>Supplier</t>
        </is>
      </c>
    </row>
    <row r="24">
      <c r="A24" s="10" t="inlineStr">
        <is>
          <t>binder_tape</t>
        </is>
      </c>
      <c r="B24" s="10" t="inlineStr">
        <is>
          <t>Binder tape</t>
        </is>
      </c>
      <c r="C24" s="10" t="inlineStr">
        <is>
          <t>0.00</t>
        </is>
      </c>
      <c r="D24" s="10" t="inlineStr">
        <is>
          <t>₹/kg</t>
        </is>
      </c>
      <c r="E24" s="10" t="inlineStr">
        <is>
          <t>2026-05-13</t>
        </is>
      </c>
      <c r="F24" s="10" t="inlineStr">
        <is>
          <t>Supplier</t>
        </is>
      </c>
    </row>
    <row r="25">
      <c r="A25" s="8" t="inlineStr">
        <is>
          <t>binding_tape_pp</t>
        </is>
      </c>
      <c r="B25" s="8" t="inlineStr">
        <is>
          <t>Binding tape (PP)</t>
        </is>
      </c>
      <c r="C25" s="8" t="inlineStr">
        <is>
          <t>0.00</t>
        </is>
      </c>
      <c r="D25" s="8" t="inlineStr">
        <is>
          <t>₹/kg</t>
        </is>
      </c>
      <c r="E25" s="8" t="inlineStr">
        <is>
          <t>2026-05-13</t>
        </is>
      </c>
      <c r="F25" s="8" t="inlineStr">
        <is>
          <t>Supplier</t>
        </is>
      </c>
    </row>
    <row r="26">
      <c r="A26" s="10" t="inlineStr">
        <is>
          <t>petp_tape</t>
        </is>
      </c>
      <c r="B26" s="10" t="inlineStr">
        <is>
          <t>PETP/Al foil tape</t>
        </is>
      </c>
      <c r="C26" s="10" t="inlineStr">
        <is>
          <t>0.00</t>
        </is>
      </c>
      <c r="D26" s="10" t="inlineStr">
        <is>
          <t>₹/kg</t>
        </is>
      </c>
      <c r="E26" s="10" t="inlineStr">
        <is>
          <t>2026-05-13</t>
        </is>
      </c>
      <c r="F26" s="10" t="inlineStr">
        <is>
          <t>Supplier</t>
        </is>
      </c>
    </row>
    <row r="27">
      <c r="A27" s="8" t="inlineStr">
        <is>
          <t>swelling_tape</t>
        </is>
      </c>
      <c r="B27" s="8" t="inlineStr">
        <is>
          <t>Swelling/water-blocking tape</t>
        </is>
      </c>
      <c r="C27" s="8" t="inlineStr">
        <is>
          <t>0.00</t>
        </is>
      </c>
      <c r="D27" s="8" t="inlineStr">
        <is>
          <t>₹/kg</t>
        </is>
      </c>
      <c r="E27" s="8" t="inlineStr">
        <is>
          <t>2026-05-13</t>
        </is>
      </c>
      <c r="F27" s="8" t="inlineStr">
        <is>
          <t>Supplier</t>
        </is>
      </c>
    </row>
    <row r="28">
      <c r="A28" s="10" t="inlineStr">
        <is>
          <t>rubber_epdm</t>
        </is>
      </c>
      <c r="B28" s="10" t="inlineStr">
        <is>
          <t>EPDM/EPR rubber compound</t>
        </is>
      </c>
      <c r="C28" s="10" t="inlineStr">
        <is>
          <t>0.00</t>
        </is>
      </c>
      <c r="D28" s="10" t="inlineStr">
        <is>
          <t>₹/kg</t>
        </is>
      </c>
      <c r="E28" s="10" t="inlineStr">
        <is>
          <t>2026-05-13</t>
        </is>
      </c>
      <c r="F28" s="10" t="inlineStr">
        <is>
          <t>Supplier</t>
        </is>
      </c>
    </row>
    <row r="30">
      <c r="A30" s="14" t="inlineStr">
        <is>
          <t>⚠ Fill rm_price_per_kg column with current prices before running costing calculations.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2" customWidth="1" min="3" max="3"/>
    <col width="20" customWidth="1" min="4" max="4"/>
    <col width="12" customWidth="1" min="5" max="5"/>
    <col width="12" customWidth="1" min="6" max="6"/>
    <col width="18" customWidth="1" min="7" max="7"/>
    <col width="12" customWidth="1" min="8" max="8"/>
    <col width="14" customWidth="1" min="9" max="9"/>
  </cols>
  <sheetData>
    <row r="1">
      <c r="A1" s="7" t="inlineStr">
        <is>
          <t>GTP_No</t>
        </is>
      </c>
      <c r="B1" s="7" t="inlineStr">
        <is>
          <t>Item_No</t>
        </is>
      </c>
      <c r="C1" s="7" t="inlineStr">
        <is>
          <t>Description</t>
        </is>
      </c>
      <c r="D1" s="7" t="inlineStr">
        <is>
          <t>Cable_Family</t>
        </is>
      </c>
      <c r="E1" s="7" t="inlineStr">
        <is>
          <t>Conductor</t>
        </is>
      </c>
      <c r="F1" s="7" t="inlineStr">
        <is>
          <t>Area_mm2</t>
        </is>
      </c>
      <c r="G1" s="7" t="inlineStr">
        <is>
          <t>Delivery_Length_m</t>
        </is>
      </c>
      <c r="H1" s="7" t="inlineStr">
        <is>
          <t>Drum_Type</t>
        </is>
      </c>
      <c r="I1" s="7" t="inlineStr">
        <is>
          <t>Cost_per_km</t>
        </is>
      </c>
    </row>
    <row r="2" ht="14" customHeight="1">
      <c r="A2" s="15" t="inlineStr">
        <is>
          <t>HOW TO USE THIS SHEET</t>
        </is>
      </c>
      <c r="B2" s="16" t="inlineStr"/>
      <c r="C2" s="16" t="inlineStr"/>
      <c r="D2" s="16" t="inlineStr"/>
      <c r="E2" s="16" t="inlineStr"/>
      <c r="F2" s="16" t="inlineStr"/>
      <c r="G2" s="16" t="inlineStr"/>
      <c r="H2" s="16" t="inlineStr"/>
      <c r="I2" s="16" t="inlineStr"/>
    </row>
    <row r="3" ht="14" customHeight="1">
      <c r="A3" s="16" t="inlineStr">
        <is>
          <t>• Add one row per cable item where you know the exact drum cost.</t>
        </is>
      </c>
      <c r="B3" s="16" t="inlineStr"/>
      <c r="C3" s="16" t="inlineStr"/>
      <c r="D3" s="16" t="inlineStr"/>
      <c r="E3" s="16" t="inlineStr"/>
      <c r="F3" s="16" t="inlineStr"/>
      <c r="G3" s="16" t="inlineStr"/>
      <c r="H3" s="16" t="inlineStr"/>
      <c r="I3" s="16" t="inlineStr"/>
    </row>
    <row r="4" ht="14" customHeight="1">
      <c r="A4" s="16" t="inlineStr">
        <is>
          <t>• GTP_No + Item_No uniquely identify the cable. Leave blank for a family/area default.</t>
        </is>
      </c>
      <c r="B4" s="16" t="inlineStr"/>
      <c r="C4" s="16" t="inlineStr"/>
      <c r="D4" s="16" t="inlineStr"/>
      <c r="E4" s="16" t="inlineStr"/>
      <c r="F4" s="16" t="inlineStr"/>
      <c r="G4" s="16" t="inlineStr"/>
      <c r="H4" s="16" t="inlineStr"/>
    </row>
    <row r="5" ht="14" customHeight="1">
      <c r="A5" s="16" t="inlineStr">
        <is>
          <t>• Cost_per_km = total drum/packing cost in ₹ per km of cable.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</row>
    <row r="6" ht="14" customHeight="1">
      <c r="A6" s="16" t="inlineStr">
        <is>
          <t>• If an item is NOT listed here, the system uses % fallback rates from data/drum_rates.json.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</row>
    <row r="7" ht="14" customHeight="1">
      <c r="A7" s="16" t="inlineStr">
        <is>
          <t>• Drum_Type: wooden / steel / coil  (steel triggers an alert in Telegram)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</row>
    <row r="8" ht="14" customHeight="1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</row>
    <row r="9" ht="14" customHeight="1">
      <c r="A9" s="15" t="inlineStr">
        <is>
          <t>--- FILL YOUR DATA BELOW THIS LINE ---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</row>
    <row r="10">
      <c r="A10" s="17" t="inlineStr">
        <is>
          <t>IS 17505 (2) (2)</t>
        </is>
      </c>
      <c r="B10" s="17" t="inlineStr">
        <is>
          <t>1</t>
        </is>
      </c>
      <c r="C10" s="17" t="inlineStr">
        <is>
          <t>3.5C x 300 SQMM</t>
        </is>
      </c>
      <c r="D10" s="17" t="inlineStr">
        <is>
          <t>FIRE_SURVIVAL</t>
        </is>
      </c>
      <c r="E10" s="17" t="inlineStr">
        <is>
          <t>copper</t>
        </is>
      </c>
      <c r="F10" s="17" t="n">
        <v>300</v>
      </c>
      <c r="G10" s="17" t="n">
        <v>500</v>
      </c>
      <c r="H10" s="17" t="inlineStr">
        <is>
          <t>wooden</t>
        </is>
      </c>
      <c r="I10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>
      <c r="A1" s="7" t="inlineStr">
        <is>
          <t>product_family</t>
        </is>
      </c>
      <c r="B1" s="7" t="inlineStr">
        <is>
          <t>min_area_mm2</t>
        </is>
      </c>
      <c r="C1" s="7" t="inlineStr">
        <is>
          <t>max_area_mm2</t>
        </is>
      </c>
      <c r="D1" s="7" t="inlineStr">
        <is>
          <t>margin_pct</t>
        </is>
      </c>
      <c r="E1" s="7" t="inlineStr">
        <is>
          <t>notes</t>
        </is>
      </c>
    </row>
    <row r="2">
      <c r="A2" s="10" t="inlineStr">
        <is>
          <t>LT_PVC_FLEX</t>
        </is>
      </c>
      <c r="B2" s="10" t="n">
        <v>0</v>
      </c>
      <c r="C2" s="10" t="n">
        <v>999</v>
      </c>
      <c r="D2" s="10" t="n">
        <v>15</v>
      </c>
      <c r="E2" s="10" t="inlineStr">
        <is>
          <t>LT PVC flexible</t>
        </is>
      </c>
    </row>
    <row r="3">
      <c r="A3" s="8" t="inlineStr">
        <is>
          <t>LT_XLPE_UNARM</t>
        </is>
      </c>
      <c r="B3" s="8" t="n">
        <v>0</v>
      </c>
      <c r="C3" s="8" t="n">
        <v>999</v>
      </c>
      <c r="D3" s="8" t="n">
        <v>15</v>
      </c>
      <c r="E3" s="8" t="inlineStr">
        <is>
          <t>LT XLPE unarmoured</t>
        </is>
      </c>
    </row>
    <row r="4">
      <c r="A4" s="10" t="inlineStr">
        <is>
          <t>LT_XLPE_ARMOURED</t>
        </is>
      </c>
      <c r="B4" s="10" t="n">
        <v>0</v>
      </c>
      <c r="C4" s="10" t="n">
        <v>999</v>
      </c>
      <c r="D4" s="10" t="n">
        <v>15</v>
      </c>
      <c r="E4" s="10" t="inlineStr">
        <is>
          <t>LT XLPE armoured</t>
        </is>
      </c>
    </row>
    <row r="5">
      <c r="A5" s="8" t="inlineStr">
        <is>
          <t>HT_11KV_SCREENED</t>
        </is>
      </c>
      <c r="B5" s="8" t="n">
        <v>0</v>
      </c>
      <c r="C5" s="8" t="n">
        <v>999</v>
      </c>
      <c r="D5" s="8" t="n">
        <v>18</v>
      </c>
      <c r="E5" s="8" t="inlineStr">
        <is>
          <t>HT 11kV screened</t>
        </is>
      </c>
    </row>
    <row r="6">
      <c r="A6" s="10" t="inlineStr">
        <is>
          <t>MV_XLPE_SCREENED</t>
        </is>
      </c>
      <c r="B6" s="10" t="n">
        <v>0</v>
      </c>
      <c r="C6" s="10" t="n">
        <v>999</v>
      </c>
      <c r="D6" s="10" t="n">
        <v>20</v>
      </c>
      <c r="E6" s="10" t="inlineStr">
        <is>
          <t>MV 22/33kV screened</t>
        </is>
      </c>
    </row>
    <row r="7">
      <c r="A7" s="8" t="inlineStr">
        <is>
          <t>CTRL_PVC_UNARM</t>
        </is>
      </c>
      <c r="B7" s="8" t="n">
        <v>0</v>
      </c>
      <c r="C7" s="8" t="n">
        <v>999</v>
      </c>
      <c r="D7" s="8" t="n">
        <v>15</v>
      </c>
      <c r="E7" s="8" t="inlineStr">
        <is>
          <t>Control unarmoured</t>
        </is>
      </c>
    </row>
    <row r="8">
      <c r="A8" s="10" t="inlineStr">
        <is>
          <t>CTRL_PVC_ARMOURED</t>
        </is>
      </c>
      <c r="B8" s="10" t="n">
        <v>0</v>
      </c>
      <c r="C8" s="10" t="n">
        <v>999</v>
      </c>
      <c r="D8" s="10" t="n">
        <v>15</v>
      </c>
      <c r="E8" s="10" t="inlineStr">
        <is>
          <t>Control armoured</t>
        </is>
      </c>
    </row>
    <row r="9">
      <c r="A9" s="8" t="inlineStr">
        <is>
          <t>INSTR_SCREENED</t>
        </is>
      </c>
      <c r="B9" s="8" t="n">
        <v>0</v>
      </c>
      <c r="C9" s="8" t="n">
        <v>999</v>
      </c>
      <c r="D9" s="8" t="n">
        <v>18</v>
      </c>
      <c r="E9" s="8" t="inlineStr">
        <is>
          <t>Instrumentation</t>
        </is>
      </c>
    </row>
    <row r="10">
      <c r="A10" s="10" t="inlineStr">
        <is>
          <t>FLEX_CLASS5</t>
        </is>
      </c>
      <c r="B10" s="10" t="n">
        <v>0</v>
      </c>
      <c r="C10" s="10" t="n">
        <v>999</v>
      </c>
      <c r="D10" s="10" t="n">
        <v>12</v>
      </c>
      <c r="E10" s="10" t="inlineStr">
        <is>
          <t>Flexible Class 5/6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7A1F"/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3" customWidth="1" min="10" max="10"/>
    <col width="13" customWidth="1" min="11" max="11"/>
  </cols>
  <sheetData>
    <row r="1">
      <c r="A1" s="18" t="inlineStr">
        <is>
          <t>CABLE BOM CALCULATOR</t>
        </is>
      </c>
    </row>
    <row r="3">
      <c r="B3" s="4" t="inlineStr">
        <is>
          <t>Cable Designation:</t>
        </is>
      </c>
      <c r="E3" s="19" t="inlineStr">
        <is>
          <t>e.g. A2XFY-FRLSH</t>
        </is>
      </c>
    </row>
    <row r="4">
      <c r="B4" s="4" t="inlineStr">
        <is>
          <t>Cable Config:</t>
        </is>
      </c>
      <c r="E4" s="19" t="inlineStr">
        <is>
          <t>e.g. 3.5C x 70mm²</t>
        </is>
      </c>
    </row>
    <row r="5">
      <c r="B5" s="4" t="inlineStr">
        <is>
          <t>Conductor Material:</t>
        </is>
      </c>
      <c r="E5" s="19" t="inlineStr">
        <is>
          <t>copper / aluminium</t>
        </is>
      </c>
    </row>
    <row r="6">
      <c r="B6" s="4" t="inlineStr">
        <is>
          <t>DC Resistance (Ω/km):</t>
        </is>
      </c>
      <c r="E6" s="19" t="inlineStr">
        <is>
          <t>from GTP</t>
        </is>
      </c>
    </row>
    <row r="7">
      <c r="B7" s="4" t="inlineStr">
        <is>
          <t>Number of Wires:</t>
        </is>
      </c>
      <c r="E7" s="19" t="inlineStr">
        <is>
          <t>e.g. 19</t>
        </is>
      </c>
    </row>
    <row r="8">
      <c r="B8" s="4" t="inlineStr">
        <is>
          <t>Conductor OD (mm):</t>
        </is>
      </c>
      <c r="E8" s="19" t="inlineStr">
        <is>
          <t>from GTP or calculated</t>
        </is>
      </c>
    </row>
    <row r="9">
      <c r="B9" s="4" t="inlineStr">
        <is>
          <t>Number of Cores:</t>
        </is>
      </c>
      <c r="E9" s="19" t="inlineStr">
        <is>
          <t>e.g. 3.5</t>
        </is>
      </c>
    </row>
    <row r="10">
      <c r="B10" s="4" t="inlineStr">
        <is>
          <t>GTP Type (A/B/C):</t>
        </is>
      </c>
      <c r="E10" s="19" t="inlineStr">
        <is>
          <t>default A</t>
        </is>
      </c>
    </row>
    <row r="11">
      <c r="B11" s="4" t="inlineStr">
        <is>
          <t>BOM Type (costing/production)</t>
        </is>
      </c>
      <c r="E11" s="19" t="inlineStr">
        <is>
          <t>costing or production</t>
        </is>
      </c>
    </row>
    <row r="12">
      <c r="B12" s="4" t="inlineStr">
        <is>
          <t>Cable Family Code:</t>
        </is>
      </c>
      <c r="E12" s="19" t="inlineStr">
        <is>
          <t>e.g. LT_XLPE_ARMOURED</t>
        </is>
      </c>
    </row>
    <row r="14">
      <c r="B14" s="12" t="inlineStr">
        <is>
          <t>Layer-by-Layer BOM Results</t>
        </is>
      </c>
    </row>
    <row r="15">
      <c r="B15" s="7" t="inlineStr">
        <is>
          <t>Layer No.</t>
        </is>
      </c>
      <c r="C15" s="7" t="inlineStr">
        <is>
          <t>Layer Name</t>
        </is>
      </c>
      <c r="D15" s="7" t="inlineStr">
        <is>
          <t>Material Key</t>
        </is>
      </c>
      <c r="E15" s="7" t="inlineStr">
        <is>
          <t>Formula Type</t>
        </is>
      </c>
      <c r="F15" s="7" t="inlineStr">
        <is>
          <t>Inner OD (mm)</t>
        </is>
      </c>
      <c r="G15" s="7" t="inlineStr">
        <is>
          <t>Thickness (mm)</t>
        </is>
      </c>
      <c r="H15" s="7" t="inlineStr">
        <is>
          <t>Outer OD (mm)</t>
        </is>
      </c>
      <c r="I15" s="7" t="inlineStr">
        <is>
          <t>Density (g/cm³)</t>
        </is>
      </c>
      <c r="J15" s="7" t="inlineStr">
        <is>
          <t>Lay Factor</t>
        </is>
      </c>
      <c r="K15" s="7" t="inlineStr">
        <is>
          <t>Weight kg/km</t>
        </is>
      </c>
    </row>
    <row r="16">
      <c r="B16" s="10" t="n">
        <v>1</v>
      </c>
      <c r="C16" s="10" t="inlineStr">
        <is>
          <t>Conductor</t>
        </is>
      </c>
      <c r="D16" s="10" t="inlineStr">
        <is>
          <t>conductor</t>
        </is>
      </c>
      <c r="E16" s="10" t="inlineStr">
        <is>
          <t>conductor_weight</t>
        </is>
      </c>
      <c r="F16" s="10">
        <f>E8</f>
        <v/>
      </c>
      <c r="G16" s="10" t="inlineStr">
        <is>
          <t>—</t>
        </is>
      </c>
      <c r="H16" s="10">
        <f>E8</f>
        <v/>
      </c>
      <c r="I16" s="10">
        <f>VLOOKUP(E5&amp;"_conductor",Master_Data!A:D,3,0)</f>
        <v/>
      </c>
      <c r="J16" s="10" t="inlineStr">
        <is>
          <t>1.005</t>
        </is>
      </c>
      <c r="K16" s="10">
        <f>E6</f>
        <v/>
      </c>
    </row>
    <row r="17">
      <c r="B17" s="8" t="n">
        <v>2</v>
      </c>
      <c r="C17" s="8" t="inlineStr">
        <is>
          <t>XLPE Insulation</t>
        </is>
      </c>
      <c r="D17" s="8" t="inlineStr">
        <is>
          <t>xlpe_insulation</t>
        </is>
      </c>
      <c r="E17" s="8" t="inlineStr">
        <is>
          <t>annular_layer</t>
        </is>
      </c>
      <c r="F17" s="8">
        <f>P16</f>
        <v/>
      </c>
      <c r="G17" s="8" t="inlineStr">
        <is>
          <t>1.9</t>
        </is>
      </c>
      <c r="H17" s="8">
        <f>Q17+2*R17</f>
        <v/>
      </c>
      <c r="I17" s="8">
        <f>VLOOKUP(C17,Master_Data!A:D,3,0)</f>
        <v/>
      </c>
      <c r="J17" s="8" t="inlineStr">
        <is>
          <t>1.000</t>
        </is>
      </c>
      <c r="K17" s="8">
        <f>(PI()/4)*(S17^2-R17^2)*T17*U17</f>
        <v/>
      </c>
    </row>
    <row r="18">
      <c r="B18" s="10" t="n">
        <v>3</v>
      </c>
      <c r="C18" s="10" t="inlineStr">
        <is>
          <t>Bedding</t>
        </is>
      </c>
      <c r="D18" s="10" t="inlineStr">
        <is>
          <t>pvc_armoured_sheath</t>
        </is>
      </c>
      <c r="E18" s="10" t="inlineStr">
        <is>
          <t>annular_layer</t>
        </is>
      </c>
      <c r="F18" s="10">
        <f>S17</f>
        <v/>
      </c>
      <c r="G18" s="10" t="inlineStr">
        <is>
          <t>0.9</t>
        </is>
      </c>
      <c r="H18" s="10">
        <f>R18+2*R18</f>
        <v/>
      </c>
      <c r="I18" s="10">
        <f>VLOOKUP(C18,Master_Data!A:D,3,0)</f>
        <v/>
      </c>
      <c r="J18" s="10" t="inlineStr">
        <is>
          <t>1.008</t>
        </is>
      </c>
      <c r="K18" s="10">
        <f>(PI()/4)*(S18^2-R18^2)*T18*U18</f>
        <v/>
      </c>
    </row>
    <row r="19">
      <c r="B19" s="8" t="n">
        <v>4</v>
      </c>
      <c r="C19" s="8" t="inlineStr">
        <is>
          <t>GS Flat Strip Arm.</t>
        </is>
      </c>
      <c r="D19" s="8" t="inlineStr">
        <is>
          <t>gs_flat_strip_armour</t>
        </is>
      </c>
      <c r="E19" s="8" t="inlineStr">
        <is>
          <t>flat_strip_armour</t>
        </is>
      </c>
      <c r="F19" s="8">
        <f>S18</f>
        <v/>
      </c>
      <c r="G19" s="8" t="inlineStr">
        <is>
          <t>0.8</t>
        </is>
      </c>
      <c r="H19" s="8">
        <f>R19+2*R19</f>
        <v/>
      </c>
      <c r="I19" s="8">
        <f>VLOOKUP(C19,Master_Data!A:D,3,0)</f>
        <v/>
      </c>
      <c r="J19" s="8" t="inlineStr">
        <is>
          <t>1.008</t>
        </is>
      </c>
      <c r="K19" s="8" t="inlineStr"/>
    </row>
    <row r="20">
      <c r="B20" s="10" t="n">
        <v>5</v>
      </c>
      <c r="C20" s="10" t="inlineStr">
        <is>
          <t>FRLSH Outer Sheath</t>
        </is>
      </c>
      <c r="D20" s="10" t="inlineStr">
        <is>
          <t>frlsh_outer_sheath</t>
        </is>
      </c>
      <c r="E20" s="10" t="inlineStr">
        <is>
          <t>annular_layer</t>
        </is>
      </c>
      <c r="F20" s="10">
        <f>S19</f>
        <v/>
      </c>
      <c r="G20" s="10" t="inlineStr">
        <is>
          <t>1.8</t>
        </is>
      </c>
      <c r="H20" s="10">
        <f>R20+2*R20</f>
        <v/>
      </c>
      <c r="I20" s="10">
        <f>VLOOKUP(C20,Master_Data!A:D,3,0)</f>
        <v/>
      </c>
      <c r="J20" s="10" t="inlineStr">
        <is>
          <t>1.008</t>
        </is>
      </c>
      <c r="K20" s="10">
        <f>(PI()/4)*(S20^2-R20^2)*T20*U20</f>
        <v/>
      </c>
    </row>
    <row r="22">
      <c r="B22" s="4" t="inlineStr">
        <is>
          <t>TOTAL WEIGHT (kg/km)</t>
        </is>
      </c>
      <c r="K22" s="3">
        <f>SUM(K16:K21)</f>
        <v/>
      </c>
    </row>
    <row r="24">
      <c r="B24" s="16" t="inlineStr">
        <is>
          <t>Note: Replace formula placeholders with actual cell references after entering your cable specs. Add more rows as needed.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C3300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4" customWidth="1" min="4" max="4"/>
    <col width="18" customWidth="1" min="5" max="5"/>
    <col width="20" customWidth="1" min="6" max="6"/>
  </cols>
  <sheetData>
    <row r="1">
      <c r="A1" s="20" t="inlineStr">
        <is>
          <t>CABLE COSTING CALCULATOR</t>
        </is>
      </c>
    </row>
    <row r="3">
      <c r="B3" s="21" t="inlineStr">
        <is>
          <t>Link to BOM_Calculator sheet (BOM_Calculator!K16:K21) or paste weights below.</t>
        </is>
      </c>
    </row>
    <row r="5">
      <c r="B5" s="7" t="inlineStr">
        <is>
          <t>Layer Name</t>
        </is>
      </c>
      <c r="C5" s="7" t="inlineStr">
        <is>
          <t>Material Key</t>
        </is>
      </c>
      <c r="D5" s="7" t="inlineStr">
        <is>
          <t>Weight kg/km</t>
        </is>
      </c>
      <c r="E5" s="7" t="inlineStr">
        <is>
          <t>RM Price (₹/kg)</t>
        </is>
      </c>
      <c r="F5" s="7" t="inlineStr">
        <is>
          <t>Material Cost (₹/km)</t>
        </is>
      </c>
    </row>
    <row r="6">
      <c r="B6" s="10" t="inlineStr">
        <is>
          <t>Conductor</t>
        </is>
      </c>
      <c r="C6" s="10" t="inlineStr">
        <is>
          <t>copper_conductor</t>
        </is>
      </c>
      <c r="D6" s="10">
        <f>BOM_Calculator!K16</f>
        <v/>
      </c>
      <c r="E6" s="10">
        <f>VLOOKUP(C6,RM_Prices!A:C,3,0)</f>
        <v/>
      </c>
      <c r="F6" s="10">
        <f>D6*E6</f>
        <v/>
      </c>
    </row>
    <row r="7">
      <c r="B7" s="8" t="inlineStr">
        <is>
          <t>XLPE Insulation</t>
        </is>
      </c>
      <c r="C7" s="8" t="inlineStr">
        <is>
          <t>xlpe_insulation</t>
        </is>
      </c>
      <c r="D7" s="8">
        <f>BOM_Calculator!K17</f>
        <v/>
      </c>
      <c r="E7" s="8">
        <f>VLOOKUP(C7,RM_Prices!A:C,3,0)</f>
        <v/>
      </c>
      <c r="F7" s="8">
        <f>D7*E7</f>
        <v/>
      </c>
    </row>
    <row r="8">
      <c r="B8" s="10" t="inlineStr">
        <is>
          <t>Bedding</t>
        </is>
      </c>
      <c r="C8" s="10" t="inlineStr">
        <is>
          <t>pvc_armoured_sheath</t>
        </is>
      </c>
      <c r="D8" s="10">
        <f>BOM_Calculator!K18</f>
        <v/>
      </c>
      <c r="E8" s="10">
        <f>VLOOKUP(C8,RM_Prices!A:C,3,0)</f>
        <v/>
      </c>
      <c r="F8" s="10">
        <f>D8*E8</f>
        <v/>
      </c>
    </row>
    <row r="9">
      <c r="B9" s="8" t="inlineStr">
        <is>
          <t>GS Flat Strip Arm.</t>
        </is>
      </c>
      <c r="C9" s="8" t="inlineStr">
        <is>
          <t>gs_flat_strip_armour</t>
        </is>
      </c>
      <c r="D9" s="8">
        <f>BOM_Calculator!K19</f>
        <v/>
      </c>
      <c r="E9" s="8">
        <f>VLOOKUP(C9,RM_Prices!A:C,3,0)</f>
        <v/>
      </c>
      <c r="F9" s="8">
        <f>D9*E9</f>
        <v/>
      </c>
    </row>
    <row r="10">
      <c r="B10" s="10" t="inlineStr">
        <is>
          <t>FRLSH Outer Sheath</t>
        </is>
      </c>
      <c r="C10" s="10" t="inlineStr">
        <is>
          <t>frlsh_outer_sheath</t>
        </is>
      </c>
      <c r="D10" s="10">
        <f>BOM_Calculator!K20</f>
        <v/>
      </c>
      <c r="E10" s="10">
        <f>VLOOKUP(C10,RM_Prices!A:C,3,0)</f>
        <v/>
      </c>
      <c r="F10" s="10">
        <f>D10*E10</f>
        <v/>
      </c>
    </row>
    <row r="13">
      <c r="B13" s="4" t="inlineStr">
        <is>
          <t>Total Material Cost (₹/km):</t>
        </is>
      </c>
      <c r="F13" s="22">
        <f>SUM(F6:F11)</f>
        <v/>
      </c>
    </row>
    <row r="14">
      <c r="B14" s="4" t="inlineStr">
        <is>
          <t>Drum Cost (₹/km):</t>
        </is>
      </c>
      <c r="F14" s="5" t="inlineStr">
        <is>
          <t>0</t>
        </is>
      </c>
    </row>
    <row r="15">
      <c r="B15" s="4" t="inlineStr">
        <is>
          <t>Conversion Cost (₹/km):</t>
        </is>
      </c>
      <c r="F15" s="5" t="inlineStr">
        <is>
          <t>0</t>
        </is>
      </c>
    </row>
    <row r="16">
      <c r="B16" s="23" t="inlineStr">
        <is>
          <t>Total Floor Cost (₹/km):</t>
        </is>
      </c>
      <c r="F16" s="23">
        <f>F13+F14+F15</f>
        <v/>
      </c>
    </row>
    <row r="18">
      <c r="B18" s="4" t="inlineStr">
        <is>
          <t>Margin (%):</t>
        </is>
      </c>
      <c r="F18" s="5" t="n">
        <v>15</v>
      </c>
    </row>
    <row r="19">
      <c r="B19" s="24" t="inlineStr">
        <is>
          <t>Selling Price (₹/km):</t>
        </is>
      </c>
      <c r="F19" s="24">
        <f>F16/(1-F18/100)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2026-05-12T18:40:06Z</dcterms:created>
  <dcterms:modified xmlns:dcterms="http://purl.org/dc/terms/" xmlns:xsi="http://www.w3.org/2001/XMLSchema-instance" xsi:type="dcterms:W3CDTF">2026-05-12T18:40:07Z</dcterms:modified>
</cp:coreProperties>
</file>